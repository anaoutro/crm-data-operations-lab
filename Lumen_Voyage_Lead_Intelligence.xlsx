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3ce228b86c46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Desk" sheetId="1" r:id="Re1c6f0fc88e84ab9"/>
    <x:sheet xmlns:r="http://schemas.openxmlformats.org/officeDocument/2006/relationships" name="Raw Intake" sheetId="2" r:id="R2ac8df65668f458e"/>
    <x:sheet xmlns:r="http://schemas.openxmlformats.org/officeDocument/2006/relationships" name="Clean and Qualify" sheetId="3" r:id="Reb4c41e36ac04519"/>
    <x:sheet xmlns:r="http://schemas.openxmlformats.org/officeDocument/2006/relationships" name="Field Guide" sheetId="4" r:id="R7f166ebc016d46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4243A"/>
      <x:name val="Arial"/>
    </x:font>
    <x:font>
      <x:b/>
      <x:sz val="15"/>
      <x:color rgb="FF14243A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243A"/>
      </x:patternFill>
    </x:fill>
    <x:fill>
      <x:patternFill patternType="solid">
        <x:fgColor rgb="FFEDF3FA"/>
      </x:patternFill>
    </x:fill>
  </x:fills>
  <x:borders count="2">
    <x:border/>
    <x:border>
      <x:bottom style="thin">
        <x:color rgb="FF2456A6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A02C2C"/>
      </x:font>
      <x:fill>
        <x:patternFill patternType="solid">
          <x:bgColor rgb="FFFDE3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76938605a64e96" /><Relationship Type="http://schemas.openxmlformats.org/officeDocument/2006/relationships/theme" Target="/xl/theme/theme1.xml" Id="R3531cb4ce4564f07" /><Relationship Type="http://schemas.openxmlformats.org/officeDocument/2006/relationships/sharedStrings" Target="/xl/sharedStrings.xml" Id="R97af5fc7fec14ad3" /><Relationship Type="http://schemas.openxmlformats.org/officeDocument/2006/relationships/worksheet" Target="/xl/worksheets/sheet1.xml" Id="Re1c6f0fc88e84ab9" /><Relationship Type="http://schemas.openxmlformats.org/officeDocument/2006/relationships/worksheet" Target="/xl/worksheets/sheet2.xml" Id="R2ac8df65668f458e" /><Relationship Type="http://schemas.openxmlformats.org/officeDocument/2006/relationships/worksheet" Target="/xl/worksheets/sheet3.xml" Id="Reb4c41e36ac04519" /><Relationship Type="http://schemas.openxmlformats.org/officeDocument/2006/relationships/worksheet" Target="/xl/worksheets/sheet4.xml" Id="R7f166ebc016d46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4243A"/>
  </x:sheetPr>
  <x:sheetViews>
    <x:sheetView showGridLines="0" workbookViewId="0"/>
  </x:sheetViews>
  <x:sheetFormatPr defaultRowHeight="15"/>
  <x:cols>
    <x:col min="1" max="1" width="26" hidden="0" customWidth="1"/>
    <x:col min="2" max="2" width="43" hidden="0" customWidth="1"/>
    <x:col min="3" max="3" width="24" hidden="0" customWidth="1"/>
    <x:col min="4" max="4" width="28" hidden="0" customWidth="1"/>
    <x:col min="5" max="5" width="17" hidden="0" customWidth="1"/>
    <x:col min="6" max="6" width="16" hidden="0" customWidth="1"/>
    <x:col min="7" max="7" width="4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5" customHeight="1">
      <x:c r="A2" s="2" t="str">
        <x:v>LUMEN VOYAGE / LEAD INTELLIGENCE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3" t="str">
        <x:v>Portfolio simulation | fictional premium travel buyer and partner pipeline | 29 Sep 2026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</x:row>
    <x:row r="7" ht="28" customHeight="1">
      <x:c r="A7" s="7" t="str">
        <x:v>Quality gate</x:v>
      </x:c>
      <x:c r="B7" s="7" t="str">
        <x:v>Records</x:v>
      </x:c>
      <x:c r="D7" s="7" t="str">
        <x:v>Segment</x:v>
      </x:c>
      <x:c r="E7" s="7" t="str">
        <x:v>Reviewable</x:v>
      </x:c>
      <x:c r="F7" s="7" t="str">
        <x:v>Priority A</x:v>
      </x:c>
    </x:row>
    <x:row r="8" ht="22" customHeight="1">
      <x:c r="A8" s="8" t="str">
        <x:v>Raw intake</x:v>
      </x:c>
      <x:c r="B8" s="8" t="n">
        <x:f>COUNTA('Raw Intake'!A7:A38)</x:f>
        <x:v>32</x:v>
      </x:c>
      <x:c r="D8" s="8" t="str">
        <x:v>Corporate</x:v>
      </x:c>
      <x:c r="E8" s="8" t="n">
        <x:f>COUNTIFS('Clean and Qualify'!$C$7:$C$38,D8,'Clean and Qualify'!$O$7:$O$38,"Reviewable")</x:f>
        <x:v>7</x:v>
      </x:c>
      <x:c r="F8" s="8" t="n">
        <x:f>COUNTIFS('Clean and Qualify'!$C$7:$C$38,D8,'Clean and Qualify'!$N$7:$N$38,"A / discovery",'Clean and Qualify'!$O$7:$O$38,"Reviewable")</x:f>
        <x:v>2</x:v>
      </x:c>
    </x:row>
    <x:row r="9" ht="22" customHeight="1">
      <x:c r="A9" s="8" t="str">
        <x:v>Reviewable</x:v>
      </x:c>
      <x:c r="B9" s="8" t="n">
        <x:f>COUNTIF('Clean and Qualify'!O7:O38,"Reviewable")</x:f>
        <x:v>26</x:v>
      </x:c>
      <x:c r="D9" s="8" t="str">
        <x:v>Travel advisor</x:v>
      </x:c>
      <x:c r="E9" s="8" t="n">
        <x:f>COUNTIFS('Clean and Qualify'!$C$7:$C$38,D9,'Clean and Qualify'!$O$7:$O$38,"Reviewable")</x:f>
        <x:v>6</x:v>
      </x:c>
      <x:c r="F9" s="8" t="n">
        <x:f>COUNTIFS('Clean and Qualify'!$C$7:$C$38,D9,'Clean and Qualify'!$N$7:$N$38,"A / discovery",'Clean and Qualify'!$O$7:$O$38,"Reviewable")</x:f>
        <x:v>1</x:v>
      </x:c>
    </x:row>
    <x:row r="10" ht="22" customHeight="1">
      <x:c r="A10" s="8" t="str">
        <x:v>Duplicate review</x:v>
      </x:c>
      <x:c r="B10" s="8" t="n">
        <x:f>COUNTIF('Clean and Qualify'!O7:O38,"Duplicate review")</x:f>
        <x:v>4</x:v>
      </x:c>
      <x:c r="D10" s="8" t="str">
        <x:v>Event planner</x:v>
      </x:c>
      <x:c r="E10" s="8" t="n">
        <x:f>COUNTIFS('Clean and Qualify'!$C$7:$C$38,D10,'Clean and Qualify'!$O$7:$O$38,"Reviewable")</x:f>
        <x:v>6</x:v>
      </x:c>
      <x:c r="F10" s="8" t="n">
        <x:f>COUNTIFS('Clean and Qualify'!$C$7:$C$38,D10,'Clean and Qualify'!$N$7:$N$38,"A / discovery",'Clean and Qualify'!$O$7:$O$38,"Reviewable")</x:f>
        <x:v>1</x:v>
      </x:c>
    </x:row>
    <x:row r="11" ht="22" customHeight="1">
      <x:c r="A11" s="8" t="str">
        <x:v>Email review</x:v>
      </x:c>
      <x:c r="B11" s="8" t="n">
        <x:f>COUNTIF('Clean and Qualify'!O7:O38,"Email review")</x:f>
        <x:v>1</x:v>
      </x:c>
      <x:c r="D11" s="8" t="str">
        <x:v>Luxury concierge</x:v>
      </x:c>
      <x:c r="E11" s="8" t="n">
        <x:f>COUNTIFS('Clean and Qualify'!$C$7:$C$38,D11,'Clean and Qualify'!$O$7:$O$38,"Reviewable")</x:f>
        <x:v>7</x:v>
      </x:c>
      <x:c r="F11" s="8" t="n">
        <x:f>COUNTIFS('Clean and Qualify'!$C$7:$C$38,D11,'Clean and Qualify'!$N$7:$N$38,"A / discovery",'Clean and Qualify'!$O$7:$O$38,"Reviewable")</x:f>
        <x:v>1</x:v>
      </x:c>
    </x:row>
    <x:row r="12" ht="22" customHeight="1">
      <x:c r="A12" s="8" t="str">
        <x:v>Market review</x:v>
      </x:c>
      <x:c r="B12" s="8" t="n">
        <x:f>COUNTIF('Clean and Qualify'!O7:O38,"Market review")</x:f>
        <x:v>1</x:v>
      </x:c>
    </x:row>
    <x:row r="13" ht="22" customHeight="1">
      <x:c r="A13" s="8" t="str">
        <x:v>Priority A / reviewable</x:v>
      </x:c>
      <x:c r="B13" s="8" t="n">
        <x:f>COUNTIFS('Clean and Qualify'!O7:O38,"Reviewable",'Clean and Qualify'!N7:N38,"A / discovery")</x:f>
        <x:v>5</x:v>
      </x:c>
    </x:row>
    <x:row r="16" ht="28" customHeight="1">
      <x:c r="A16" s="7" t="str">
        <x:v>Gate</x:v>
      </x:c>
      <x:c r="B16" s="7" t="str">
        <x:v>Rule</x:v>
      </x:c>
      <x:c r="C16" s="7" t="str">
        <x:v>Owner</x:v>
      </x:c>
      <x:c r="D16" s="7" t="str">
        <x:v>Required evidence</x:v>
      </x:c>
    </x:row>
    <x:row r="17" ht="22" customHeight="1">
      <x:c r="A17" s="8" t="str">
        <x:v>Normalize</x:v>
      </x:c>
      <x:c r="B17" s="8" t="str">
        <x:v>Trim and clean account; lowercase email</x:v>
      </x:c>
      <x:c r="C17" s="8" t="str">
        <x:v>Data ops</x:v>
      </x:c>
      <x:c r="D17" s="8" t="str">
        <x:v>Original row preserved</x:v>
      </x:c>
    </x:row>
    <x:row r="18" ht="22" customHeight="1">
      <x:c r="A18" s="8" t="str">
        <x:v>Deduplicate</x:v>
      </x:c>
      <x:c r="B18" s="8" t="str">
        <x:v>Match normalized account names</x:v>
      </x:c>
      <x:c r="C18" s="8" t="str">
        <x:v>Research</x:v>
      </x:c>
      <x:c r="D18" s="8" t="str">
        <x:v>Manual review before merge</x:v>
      </x:c>
    </x:row>
    <x:row r="19" ht="22" customHeight="1">
      <x:c r="A19" s="8" t="str">
        <x:v>Qualify</x:v>
      </x:c>
      <x:c r="B19" s="8" t="str">
        <x:v>Score volume and buyer type</x:v>
      </x:c>
      <x:c r="C19" s="8" t="str">
        <x:v>Growth</x:v>
      </x:c>
      <x:c r="D19" s="8" t="str">
        <x:v>Model assumption, not observed intent</x:v>
      </x:c>
    </x:row>
    <x:row r="20" ht="22" customHeight="1">
      <x:c r="A20" s="8" t="str">
        <x:v>Handoff</x:v>
      </x:c>
      <x:c r="B20" s="8" t="str">
        <x:v>Draft stage for reviewable only</x:v>
      </x:c>
      <x:c r="C20" s="8" t="str">
        <x:v>CRM ops</x:v>
      </x:c>
      <x:c r="D20" s="8" t="str">
        <x:v>Validate company and contact externally</x:v>
      </x:c>
    </x:row>
    <x:row r="23">
      <x:c r="A23" s="3" t="str">
        <x:v>No real contacts, outreach or conversion is represented. Demo email domains are reserved.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598A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9" hidden="0" customWidth="1"/>
    <x:col min="3" max="3" width="20" hidden="0" customWidth="1"/>
    <x:col min="4" max="4" width="16" hidden="0" customWidth="1"/>
    <x:col min="5" max="5" width="17" hidden="0" customWidth="1"/>
    <x:col min="6" max="6" width="16" hidden="0" customWidth="1"/>
    <x:col min="7" max="7" width="16" hidden="0" customWidth="1"/>
    <x:col min="8" max="8" width="21" hidden="0" customWidth="1"/>
    <x:col min="9" max="9" width="30" hidden="0" customWidth="1"/>
    <x:col min="10" max="10" width="19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5" customHeight="1">
      <x:c r="A2" s="2" t="str">
        <x:v>RAW INTAKE / PRESERVED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3" t="str">
        <x:v>Deliberately messy synthetic source records. Do not change this tab during a cleaning run.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</x:row>
    <x:row r="6" ht="28" customHeight="1">
      <x:c r="A6" s="7" t="str">
        <x:v>Record ID</x:v>
      </x:c>
      <x:c r="B6" s="7" t="str">
        <x:v>Account (as received)</x:v>
      </x:c>
      <x:c r="C6" s="7" t="str">
        <x:v>Type</x:v>
      </x:c>
      <x:c r="D6" s="7" t="str">
        <x:v>City</x:v>
      </x:c>
      <x:c r="E6" s="7" t="str">
        <x:v>Country</x:v>
      </x:c>
      <x:c r="F6" s="7" t="str">
        <x:v>Annual trips</x:v>
      </x:c>
      <x:c r="G6" s="7" t="str">
        <x:v>Est. travelers</x:v>
      </x:c>
      <x:c r="H6" s="7" t="str">
        <x:v>Decision role</x:v>
      </x:c>
      <x:c r="I6" s="7" t="str">
        <x:v>Email (demo)</x:v>
      </x:c>
      <x:c r="J6" s="7" t="str">
        <x:v>Intake source</x:v>
      </x:c>
    </x:row>
    <x:row r="7" ht="22" customHeight="1">
      <x:c r="A7" s="8" t="str">
        <x:v>LV-001</x:v>
      </x:c>
      <x:c r="B7" s="8" t="str">
        <x:v>Silk Harbor Corporate</x:v>
      </x:c>
      <x:c r="C7" s="8" t="str">
        <x:v>Corporate</x:v>
      </x:c>
      <x:c r="D7" s="8" t="str">
        <x:v>Amsterdam</x:v>
      </x:c>
      <x:c r="E7" s="8" t="str">
        <x:v>Netherlands</x:v>
      </x:c>
      <x:c r="F7" s="8" t="n">
        <x:v>2</x:v>
      </x:c>
      <x:c r="G7" s="8" t="n">
        <x:v>3</x:v>
      </x:c>
      <x:c r="H7" s="8" t="str">
        <x:v>Travel Manager</x:v>
      </x:c>
      <x:c r="I7" s="8" t="str">
        <x:v>team1@lumen-demo.example</x:v>
      </x:c>
      <x:c r="J7" s="8" t="str">
        <x:v>Synthetic intake</x:v>
      </x:c>
    </x:row>
    <x:row r="8" ht="22" customHeight="1">
      <x:c r="A8" s="8" t="str">
        <x:v>LV-002</x:v>
      </x:c>
      <x:c r="B8" s="8" t="str">
        <x:v>Canal North Corporate</x:v>
      </x:c>
      <x:c r="C8" s="8" t="str">
        <x:v>Corporate</x:v>
      </x:c>
      <x:c r="D8" s="8" t="str">
        <x:v>Rotterdam</x:v>
      </x:c>
      <x:c r="E8" s="8" t="str">
        <x:v>Netherlands</x:v>
      </x:c>
      <x:c r="F8" s="8" t="n">
        <x:v>7</x:v>
      </x:c>
      <x:c r="G8" s="8" t="n">
        <x:v>14</x:v>
      </x:c>
      <x:c r="H8" s="8" t="str">
        <x:v>Founder</x:v>
      </x:c>
      <x:c r="I8" s="8" t="str">
        <x:v>team2@lumen-demo.example</x:v>
      </x:c>
      <x:c r="J8" s="8" t="str">
        <x:v>Synthetic intake</x:v>
      </x:c>
    </x:row>
    <x:row r="9" ht="22" customHeight="1">
      <x:c r="A9" s="8" t="str">
        <x:v>LV-003</x:v>
      </x:c>
      <x:c r="B9" s="8" t="str">
        <x:v>Atlas House Corporate</x:v>
      </x:c>
      <x:c r="C9" s="8" t="str">
        <x:v>Corporate</x:v>
      </x:c>
      <x:c r="D9" s="8" t="str">
        <x:v>Utrecht</x:v>
      </x:c>
      <x:c r="E9" s="8" t="str">
        <x:v>Netherlands</x:v>
      </x:c>
      <x:c r="F9" s="8" t="n">
        <x:v>12</x:v>
      </x:c>
      <x:c r="G9" s="8" t="n">
        <x:v>25</x:v>
      </x:c>
      <x:c r="H9" s="8" t="str">
        <x:v>EA / Operations</x:v>
      </x:c>
      <x:c r="I9" s="8" t="str">
        <x:v>team3@lumen-demo.example</x:v>
      </x:c>
      <x:c r="J9" s="8" t="str">
        <x:v>Synthetic intake</x:v>
      </x:c>
    </x:row>
    <x:row r="10" ht="22" customHeight="1">
      <x:c r="A10" s="8" t="str">
        <x:v>LV-004</x:v>
      </x:c>
      <x:c r="B10" s="8" t="str">
        <x:v>Juniper Circle Corporate</x:v>
      </x:c>
      <x:c r="C10" s="8" t="str">
        <x:v>Corporate</x:v>
      </x:c>
      <x:c r="D10" s="8" t="str">
        <x:v>The Hague</x:v>
      </x:c>
      <x:c r="E10" s="8" t="str">
        <x:v>Netherlands</x:v>
      </x:c>
      <x:c r="F10" s="8" t="n">
        <x:v>17</x:v>
      </x:c>
      <x:c r="G10" s="8" t="n">
        <x:v>36</x:v>
      </x:c>
      <x:c r="H10" s="8" t="str">
        <x:v>Partnerships</x:v>
      </x:c>
      <x:c r="I10" s="8" t="str">
        <x:v>team4@lumen-demo.example</x:v>
      </x:c>
      <x:c r="J10" s="8" t="str">
        <x:v>Synthetic intake</x:v>
      </x:c>
    </x:row>
    <x:row r="11" ht="22" customHeight="1">
      <x:c r="A11" s="8" t="str">
        <x:v>LV-005</x:v>
      </x:c>
      <x:c r="B11" s="8" t="str">
        <x:v>Velvet Meridian Corporate</x:v>
      </x:c>
      <x:c r="C11" s="8" t="str">
        <x:v>Corporate</x:v>
      </x:c>
      <x:c r="D11" s="8" t="str">
        <x:v>Eindhoven</x:v>
      </x:c>
      <x:c r="E11" s="8" t="str">
        <x:v>Netherlands</x:v>
      </x:c>
      <x:c r="F11" s="8" t="n">
        <x:v>3</x:v>
      </x:c>
      <x:c r="G11" s="8" t="n">
        <x:v>47</x:v>
      </x:c>
      <x:c r="H11" s="8" t="str">
        <x:v>Travel Manager</x:v>
      </x:c>
      <x:c r="I11" s="8" t="str">
        <x:v>team5@lumen-demo.example</x:v>
      </x:c>
      <x:c r="J11" s="8" t="str">
        <x:v>Synthetic intake</x:v>
      </x:c>
    </x:row>
    <x:row r="12" ht="22" customHeight="1">
      <x:c r="A12" s="8" t="str">
        <x:v>LV-006</x:v>
      </x:c>
      <x:c r="B12" s="8" t="str">
        <x:v>Blue Quay Corporate</x:v>
      </x:c>
      <x:c r="C12" s="8" t="str">
        <x:v>Corporate</x:v>
      </x:c>
      <x:c r="D12" s="8" t="str">
        <x:v>Haarlem</x:v>
      </x:c>
      <x:c r="E12" s="8" t="str">
        <x:v>Netherlands</x:v>
      </x:c>
      <x:c r="F12" s="8" t="n">
        <x:v>8</x:v>
      </x:c>
      <x:c r="G12" s="8" t="n">
        <x:v>58</x:v>
      </x:c>
      <x:c r="H12" s="8" t="str">
        <x:v>Founder</x:v>
      </x:c>
      <x:c r="I12" s="8" t="str">
        <x:v>team6@lumen-demo.example</x:v>
      </x:c>
      <x:c r="J12" s="8" t="str">
        <x:v>Synthetic intake</x:v>
      </x:c>
    </x:row>
    <x:row r="13" ht="22" customHeight="1">
      <x:c r="A13" s="8" t="str">
        <x:v>LV-007</x:v>
      </x:c>
      <x:c r="B13" s="8" t="str">
        <x:v>Avenue Group Corporate</x:v>
      </x:c>
      <x:c r="C13" s="8" t="str">
        <x:v>Corporate</x:v>
      </x:c>
      <x:c r="D13" s="8" t="str">
        <x:v>Amsterdam</x:v>
      </x:c>
      <x:c r="E13" s="8" t="str">
        <x:v>Netherlands</x:v>
      </x:c>
      <x:c r="F13" s="8" t="n">
        <x:v>13</x:v>
      </x:c>
      <x:c r="G13" s="8" t="n">
        <x:v>69</x:v>
      </x:c>
      <x:c r="H13" s="8" t="str">
        <x:v>EA / Operations</x:v>
      </x:c>
      <x:c r="I13" s="8" t="str">
        <x:v>team7@lumen-demo.example</x:v>
      </x:c>
      <x:c r="J13" s="8" t="str">
        <x:v>Synthetic intake</x:v>
      </x:c>
    </x:row>
    <x:row r="14" ht="22" customHeight="1">
      <x:c r="A14" s="8" t="str">
        <x:v>LV-008</x:v>
      </x:c>
      <x:c r="B14" s="8" t="str">
        <x:v>Orchid Point Corporate</x:v>
      </x:c>
      <x:c r="C14" s="8" t="str">
        <x:v>Corporate</x:v>
      </x:c>
      <x:c r="D14" s="8" t="str">
        <x:v>Rotterdam</x:v>
      </x:c>
      <x:c r="E14" s="8" t="str">
        <x:v>Netherlands</x:v>
      </x:c>
      <x:c r="F14" s="8" t="n">
        <x:v>18</x:v>
      </x:c>
      <x:c r="G14" s="8" t="n">
        <x:v>80</x:v>
      </x:c>
      <x:c r="H14" s="8" t="str">
        <x:v>Partnerships</x:v>
      </x:c>
      <x:c r="I14" s="8" t="str">
        <x:v>team8@lumen-demo.example</x:v>
      </x:c>
      <x:c r="J14" s="8" t="str">
        <x:v>Synthetic intake</x:v>
      </x:c>
    </x:row>
    <x:row r="15" ht="22" customHeight="1">
      <x:c r="A15" s="8" t="str">
        <x:v>LV-009</x:v>
      </x:c>
      <x:c r="B15" s="8" t="str">
        <x:v>Silk Harbor Travel advisor</x:v>
      </x:c>
      <x:c r="C15" s="8" t="str">
        <x:v>Travel advisor</x:v>
      </x:c>
      <x:c r="D15" s="8" t="str">
        <x:v>Utrecht</x:v>
      </x:c>
      <x:c r="E15" s="8" t="str">
        <x:v>Netherlands</x:v>
      </x:c>
      <x:c r="F15" s="8" t="n">
        <x:v>4</x:v>
      </x:c>
      <x:c r="G15" s="8" t="n">
        <x:v>91</x:v>
      </x:c>
      <x:c r="H15" s="8" t="str">
        <x:v>Travel Manager</x:v>
      </x:c>
      <x:c r="I15" s="8" t="str">
        <x:v>missing</x:v>
      </x:c>
      <x:c r="J15" s="8" t="str">
        <x:v>Synthetic intake</x:v>
      </x:c>
    </x:row>
    <x:row r="16" ht="22" customHeight="1">
      <x:c r="A16" s="8" t="str">
        <x:v>LV-010</x:v>
      </x:c>
      <x:c r="B16" s="8" t="str">
        <x:v>Canal North Travel advisor</x:v>
      </x:c>
      <x:c r="C16" s="8" t="str">
        <x:v>Travel advisor</x:v>
      </x:c>
      <x:c r="D16" s="8" t="str">
        <x:v>The Hague</x:v>
      </x:c>
      <x:c r="E16" s="8" t="str">
        <x:v>Netherlands</x:v>
      </x:c>
      <x:c r="F16" s="8" t="n">
        <x:v>9</x:v>
      </x:c>
      <x:c r="G16" s="8" t="n">
        <x:v>12</x:v>
      </x:c>
      <x:c r="H16" s="8" t="str">
        <x:v>Founder</x:v>
      </x:c>
      <x:c r="I16" s="8" t="str">
        <x:v>team10@lumen-demo.example</x:v>
      </x:c>
      <x:c r="J16" s="8" t="str">
        <x:v>Synthetic intake</x:v>
      </x:c>
    </x:row>
    <x:row r="17" ht="22" customHeight="1">
      <x:c r="A17" s="8" t="str">
        <x:v>LV-011</x:v>
      </x:c>
      <x:c r="B17" s="8" t="str">
        <x:v>Atlas House Travel advisor</x:v>
      </x:c>
      <x:c r="C17" s="8" t="str">
        <x:v>Travel advisor</x:v>
      </x:c>
      <x:c r="D17" s="8" t="str">
        <x:v>Eindhoven</x:v>
      </x:c>
      <x:c r="E17" s="8" t="str">
        <x:v>Netherlands</x:v>
      </x:c>
      <x:c r="F17" s="8" t="n">
        <x:v>14</x:v>
      </x:c>
      <x:c r="G17" s="8" t="n">
        <x:v>23</x:v>
      </x:c>
      <x:c r="H17" s="8" t="str">
        <x:v>EA / Operations</x:v>
      </x:c>
      <x:c r="I17" s="8" t="str">
        <x:v>team11@lumen-demo.example</x:v>
      </x:c>
      <x:c r="J17" s="8" t="str">
        <x:v>Synthetic intake</x:v>
      </x:c>
    </x:row>
    <x:row r="18" ht="22" customHeight="1">
      <x:c r="A18" s="8" t="str">
        <x:v>LV-012</x:v>
      </x:c>
      <x:c r="B18" s="8" t="str">
        <x:v>  JUNIPER CIRCLE CORPORATE  </x:v>
      </x:c>
      <x:c r="C18" s="8" t="str">
        <x:v>Travel advisor</x:v>
      </x:c>
      <x:c r="D18" s="8" t="str">
        <x:v>Haarlem</x:v>
      </x:c>
      <x:c r="E18" s="8" t="str">
        <x:v>Netherlands</x:v>
      </x:c>
      <x:c r="F18" s="8" t="n">
        <x:v>19</x:v>
      </x:c>
      <x:c r="G18" s="8" t="n">
        <x:v>34</x:v>
      </x:c>
      <x:c r="H18" s="8" t="str">
        <x:v>Partnerships</x:v>
      </x:c>
      <x:c r="I18" s="8" t="str">
        <x:v>team12@lumen-demo.example</x:v>
      </x:c>
      <x:c r="J18" s="8" t="str">
        <x:v>Synthetic intake</x:v>
      </x:c>
    </x:row>
    <x:row r="19" ht="22" customHeight="1">
      <x:c r="A19" s="8" t="str">
        <x:v>LV-013</x:v>
      </x:c>
      <x:c r="B19" s="8" t="str">
        <x:v>Velvet Meridian Travel advisor</x:v>
      </x:c>
      <x:c r="C19" s="8" t="str">
        <x:v>Travel advisor</x:v>
      </x:c>
      <x:c r="D19" s="8" t="str">
        <x:v>Amsterdam</x:v>
      </x:c>
      <x:c r="E19" s="8" t="str">
        <x:v>Netherlands</x:v>
      </x:c>
      <x:c r="F19" s="8" t="n">
        <x:v>5</x:v>
      </x:c>
      <x:c r="G19" s="8" t="n">
        <x:v>45</x:v>
      </x:c>
      <x:c r="H19" s="8" t="str">
        <x:v>Travel Manager</x:v>
      </x:c>
      <x:c r="I19" s="8" t="str">
        <x:v>team13@lumen-demo.example</x:v>
      </x:c>
      <x:c r="J19" s="8" t="str">
        <x:v>Synthetic intake</x:v>
      </x:c>
    </x:row>
    <x:row r="20" ht="22" customHeight="1">
      <x:c r="A20" s="8" t="str">
        <x:v>LV-014</x:v>
      </x:c>
      <x:c r="B20" s="8" t="str">
        <x:v>Blue Quay Travel advisor</x:v>
      </x:c>
      <x:c r="C20" s="8" t="str">
        <x:v>Travel advisor</x:v>
      </x:c>
      <x:c r="D20" s="8" t="str">
        <x:v>Rotterdam</x:v>
      </x:c>
      <x:c r="E20" s="8" t="str">
        <x:v>Netherlands</x:v>
      </x:c>
      <x:c r="F20" s="8" t="n">
        <x:v>10</x:v>
      </x:c>
      <x:c r="G20" s="8" t="n">
        <x:v>56</x:v>
      </x:c>
      <x:c r="H20" s="8" t="str">
        <x:v>Founder</x:v>
      </x:c>
      <x:c r="I20" s="8" t="str">
        <x:v>team14@lumen-demo.example</x:v>
      </x:c>
      <x:c r="J20" s="8" t="str">
        <x:v>Synthetic intake</x:v>
      </x:c>
    </x:row>
    <x:row r="21" ht="22" customHeight="1">
      <x:c r="A21" s="8" t="str">
        <x:v>LV-015</x:v>
      </x:c>
      <x:c r="B21" s="8" t="str">
        <x:v>Avenue Group Travel advisor</x:v>
      </x:c>
      <x:c r="C21" s="8" t="str">
        <x:v>Travel advisor</x:v>
      </x:c>
      <x:c r="D21" s="8" t="str">
        <x:v>Utrecht</x:v>
      </x:c>
      <x:c r="E21" s="8" t="str">
        <x:v>Netherlands</x:v>
      </x:c>
      <x:c r="F21" s="8" t="n">
        <x:v>15</x:v>
      </x:c>
      <x:c r="G21" s="8" t="n">
        <x:v>67</x:v>
      </x:c>
      <x:c r="H21" s="8" t="str">
        <x:v>EA / Operations</x:v>
      </x:c>
      <x:c r="I21" s="8" t="str">
        <x:v>team15@lumen-demo.example</x:v>
      </x:c>
      <x:c r="J21" s="8" t="str">
        <x:v>Synthetic intake</x:v>
      </x:c>
    </x:row>
    <x:row r="22" ht="22" customHeight="1">
      <x:c r="A22" s="8" t="str">
        <x:v>LV-016</x:v>
      </x:c>
      <x:c r="B22" s="8" t="str">
        <x:v>Orchid Point Travel advisor</x:v>
      </x:c>
      <x:c r="C22" s="8" t="str">
        <x:v>Travel advisor</x:v>
      </x:c>
      <x:c r="D22" s="8" t="str">
        <x:v>The Hague</x:v>
      </x:c>
      <x:c r="E22" s="8" t="str">
        <x:v>Netherlands</x:v>
      </x:c>
      <x:c r="F22" s="8" t="n">
        <x:v>20</x:v>
      </x:c>
      <x:c r="G22" s="8" t="n">
        <x:v>78</x:v>
      </x:c>
      <x:c r="H22" s="8" t="str">
        <x:v>Partnerships</x:v>
      </x:c>
      <x:c r="I22" s="8" t="str">
        <x:v>team16@lumen-demo.example</x:v>
      </x:c>
      <x:c r="J22" s="8" t="str">
        <x:v>Synthetic intake</x:v>
      </x:c>
    </x:row>
    <x:row r="23" ht="22" customHeight="1">
      <x:c r="A23" s="8" t="str">
        <x:v>LV-017</x:v>
      </x:c>
      <x:c r="B23" s="8" t="str">
        <x:v>Silk Harbor Event planner</x:v>
      </x:c>
      <x:c r="C23" s="8" t="str">
        <x:v>Event planner</x:v>
      </x:c>
      <x:c r="D23" s="8" t="str">
        <x:v>Eindhoven</x:v>
      </x:c>
      <x:c r="E23" s="8" t="str">
        <x:v>Netherlands</x:v>
      </x:c>
      <x:c r="F23" s="8" t="n">
        <x:v>6</x:v>
      </x:c>
      <x:c r="G23" s="8" t="n">
        <x:v>89</x:v>
      </x:c>
      <x:c r="H23" s="8" t="str">
        <x:v>Travel Manager</x:v>
      </x:c>
      <x:c r="I23" s="8" t="str">
        <x:v>team17@lumen-demo.example</x:v>
      </x:c>
      <x:c r="J23" s="8" t="str">
        <x:v>Synthetic intake</x:v>
      </x:c>
    </x:row>
    <x:row r="24" ht="22" customHeight="1">
      <x:c r="A24" s="8" t="str">
        <x:v>LV-018</x:v>
      </x:c>
      <x:c r="B24" s="8" t="str">
        <x:v>Canal North Event planner</x:v>
      </x:c>
      <x:c r="C24" s="8" t="str">
        <x:v>Event planner</x:v>
      </x:c>
      <x:c r="D24" s="8" t="str">
        <x:v>Haarlem</x:v>
      </x:c>
      <x:c r="E24" s="8" t="str">
        <x:v>Netherlands</x:v>
      </x:c>
      <x:c r="F24" s="8" t="n">
        <x:v>11</x:v>
      </x:c>
      <x:c r="G24" s="8" t="n">
        <x:v>10</x:v>
      </x:c>
      <x:c r="H24" s="8" t="str">
        <x:v>Founder</x:v>
      </x:c>
      <x:c r="I24" s="8" t="str">
        <x:v>team18@lumen-demo.example</x:v>
      </x:c>
      <x:c r="J24" s="8" t="str">
        <x:v>Synthetic intake</x:v>
      </x:c>
    </x:row>
    <x:row r="25" ht="22" customHeight="1">
      <x:c r="A25" s="8" t="str">
        <x:v>LV-019</x:v>
      </x:c>
      <x:c r="B25" s="8" t="str">
        <x:v>Atlas House Event planner</x:v>
      </x:c>
      <x:c r="C25" s="8" t="str">
        <x:v>Event planner</x:v>
      </x:c>
      <x:c r="D25" s="8" t="str">
        <x:v>Amsterdam</x:v>
      </x:c>
      <x:c r="E25" s="8" t="str">
        <x:v>Netherlands</x:v>
      </x:c>
      <x:c r="F25" s="8" t="n">
        <x:v>16</x:v>
      </x:c>
      <x:c r="G25" s="8" t="n">
        <x:v>21</x:v>
      </x:c>
      <x:c r="H25" s="8" t="str">
        <x:v>EA / Operations</x:v>
      </x:c>
      <x:c r="I25" s="8" t="str">
        <x:v>team19@lumen-demo.example</x:v>
      </x:c>
      <x:c r="J25" s="8" t="str">
        <x:v>Synthetic intake</x:v>
      </x:c>
    </x:row>
    <x:row r="26" ht="22" customHeight="1">
      <x:c r="A26" s="8" t="str">
        <x:v>LV-020</x:v>
      </x:c>
      <x:c r="B26" s="8" t="str">
        <x:v>Juniper Circle Event planner</x:v>
      </x:c>
      <x:c r="C26" s="8" t="str">
        <x:v>Event planner</x:v>
      </x:c>
      <x:c r="D26" s="8" t="str">
        <x:v>Rotterdam</x:v>
      </x:c>
      <x:c r="E26" s="8" t="str">
        <x:v>Netherlands</x:v>
      </x:c>
      <x:c r="F26" s="8" t="n">
        <x:v>2</x:v>
      </x:c>
      <x:c r="G26" s="8" t="n">
        <x:v>32</x:v>
      </x:c>
      <x:c r="H26" s="8" t="str">
        <x:v>Partnerships</x:v>
      </x:c>
      <x:c r="I26" s="8" t="str">
        <x:v>team20@lumen-demo.example</x:v>
      </x:c>
      <x:c r="J26" s="8" t="str">
        <x:v>Synthetic intake</x:v>
      </x:c>
    </x:row>
    <x:row r="27" ht="22" customHeight="1">
      <x:c r="A27" s="8" t="str">
        <x:v>LV-021</x:v>
      </x:c>
      <x:c r="B27" s="8" t="str">
        <x:v>Velvet Meridian Event planner</x:v>
      </x:c>
      <x:c r="C27" s="8" t="str">
        <x:v>Event planner</x:v>
      </x:c>
      <x:c r="D27" s="8" t="str">
        <x:v>Utrecht</x:v>
      </x:c>
      <x:c r="E27" s="8" t="str">
        <x:v>Netherlands</x:v>
      </x:c>
      <x:c r="F27" s="8" t="n">
        <x:v>7</x:v>
      </x:c>
      <x:c r="G27" s="8" t="n">
        <x:v>43</x:v>
      </x:c>
      <x:c r="H27" s="8" t="str">
        <x:v>Travel Manager</x:v>
      </x:c>
      <x:c r="I27" s="8" t="str">
        <x:v>team21@lumen-demo.example</x:v>
      </x:c>
      <x:c r="J27" s="8" t="str">
        <x:v>Synthetic intake</x:v>
      </x:c>
    </x:row>
    <x:row r="28" ht="22" customHeight="1">
      <x:c r="A28" s="8" t="str">
        <x:v>LV-022</x:v>
      </x:c>
      <x:c r="B28" s="8" t="str">
        <x:v>Blue Quay Event planner</x:v>
      </x:c>
      <x:c r="C28" s="8" t="str">
        <x:v>Event planner</x:v>
      </x:c>
      <x:c r="D28" s="8" t="str">
        <x:v>The Hague</x:v>
      </x:c>
      <x:c r="E28" s="8" t="str">
        <x:v>Belgium</x:v>
      </x:c>
      <x:c r="F28" s="8" t="n">
        <x:v>12</x:v>
      </x:c>
      <x:c r="G28" s="8" t="n">
        <x:v>54</x:v>
      </x:c>
      <x:c r="H28" s="8" t="str">
        <x:v>Founder</x:v>
      </x:c>
      <x:c r="I28" s="8" t="str">
        <x:v>team22@lumen-demo.example</x:v>
      </x:c>
      <x:c r="J28" s="8" t="str">
        <x:v>Synthetic intake</x:v>
      </x:c>
    </x:row>
    <x:row r="29" ht="22" customHeight="1">
      <x:c r="A29" s="8" t="str">
        <x:v>LV-023</x:v>
      </x:c>
      <x:c r="B29" s="8" t="str">
        <x:v>Avenue Group Event planner</x:v>
      </x:c>
      <x:c r="C29" s="8" t="str">
        <x:v>Event planner</x:v>
      </x:c>
      <x:c r="D29" s="8" t="str">
        <x:v>Eindhoven</x:v>
      </x:c>
      <x:c r="E29" s="8" t="str">
        <x:v>Netherlands</x:v>
      </x:c>
      <x:c r="F29" s="8" t="n">
        <x:v>17</x:v>
      </x:c>
      <x:c r="G29" s="8" t="n">
        <x:v>65</x:v>
      </x:c>
      <x:c r="H29" s="8" t="str">
        <x:v>EA / Operations</x:v>
      </x:c>
      <x:c r="I29" s="8" t="str">
        <x:v>team23@lumen-demo.example</x:v>
      </x:c>
      <x:c r="J29" s="8" t="str">
        <x:v>Synthetic intake</x:v>
      </x:c>
    </x:row>
    <x:row r="30" ht="22" customHeight="1">
      <x:c r="A30" s="8" t="str">
        <x:v>LV-024</x:v>
      </x:c>
      <x:c r="B30" s="8" t="str">
        <x:v>Orchid Point Event planner</x:v>
      </x:c>
      <x:c r="C30" s="8" t="str">
        <x:v>Event planner</x:v>
      </x:c>
      <x:c r="D30" s="8" t="str">
        <x:v>Haarlem</x:v>
      </x:c>
      <x:c r="E30" s="8" t="str">
        <x:v>Netherlands</x:v>
      </x:c>
      <x:c r="F30" s="8" t="n">
        <x:v>3</x:v>
      </x:c>
      <x:c r="G30" s="8" t="n">
        <x:v>76</x:v>
      </x:c>
      <x:c r="H30" s="8" t="str">
        <x:v>Partnerships</x:v>
      </x:c>
      <x:c r="I30" s="8" t="str">
        <x:v>team24@lumen-demo.example</x:v>
      </x:c>
      <x:c r="J30" s="8" t="str">
        <x:v>Synthetic intake</x:v>
      </x:c>
    </x:row>
    <x:row r="31" ht="22" customHeight="1">
      <x:c r="A31" s="8" t="str">
        <x:v>LV-025</x:v>
      </x:c>
      <x:c r="B31" s="8" t="str">
        <x:v>Silk Harbor Luxury concierge</x:v>
      </x:c>
      <x:c r="C31" s="8" t="str">
        <x:v>Luxury concierge</x:v>
      </x:c>
      <x:c r="D31" s="8" t="str">
        <x:v>Amsterdam</x:v>
      </x:c>
      <x:c r="E31" s="8" t="str">
        <x:v>Netherlands</x:v>
      </x:c>
      <x:c r="F31" s="8" t="n">
        <x:v>8</x:v>
      </x:c>
      <x:c r="G31" s="8" t="n">
        <x:v>87</x:v>
      </x:c>
      <x:c r="H31" s="8" t="str">
        <x:v>Travel Manager</x:v>
      </x:c>
      <x:c r="I31" s="8" t="str">
        <x:v>team25@lumen-demo.example</x:v>
      </x:c>
      <x:c r="J31" s="8" t="str">
        <x:v>Synthetic intake</x:v>
      </x:c>
    </x:row>
    <x:row r="32" ht="22" customHeight="1">
      <x:c r="A32" s="8" t="str">
        <x:v>LV-026</x:v>
      </x:c>
      <x:c r="B32" s="8" t="str">
        <x:v>Canal North Luxury concierge</x:v>
      </x:c>
      <x:c r="C32" s="8" t="str">
        <x:v>Luxury concierge</x:v>
      </x:c>
      <x:c r="D32" s="8" t="str">
        <x:v>Rotterdam</x:v>
      </x:c>
      <x:c r="E32" s="8" t="str">
        <x:v>Netherlands</x:v>
      </x:c>
      <x:c r="F32" s="8" t="n">
        <x:v>13</x:v>
      </x:c>
      <x:c r="G32" s="8" t="n">
        <x:v>8</x:v>
      </x:c>
      <x:c r="H32" s="8" t="str">
        <x:v>Founder</x:v>
      </x:c>
      <x:c r="I32" s="8" t="str">
        <x:v>team26@lumen-demo.example</x:v>
      </x:c>
      <x:c r="J32" s="8" t="str">
        <x:v>Synthetic intake</x:v>
      </x:c>
    </x:row>
    <x:row r="33" ht="22" customHeight="1">
      <x:c r="A33" s="8" t="str">
        <x:v>LV-027</x:v>
      </x:c>
      <x:c r="B33" s="8" t="str">
        <x:v>atlas house event planner</x:v>
      </x:c>
      <x:c r="C33" s="8" t="str">
        <x:v>Luxury concierge</x:v>
      </x:c>
      <x:c r="D33" s="8" t="str">
        <x:v>Utrecht</x:v>
      </x:c>
      <x:c r="E33" s="8" t="str">
        <x:v>Netherlands</x:v>
      </x:c>
      <x:c r="F33" s="8" t="n">
        <x:v>18</x:v>
      </x:c>
      <x:c r="G33" s="8" t="n">
        <x:v>19</x:v>
      </x:c>
      <x:c r="H33" s="8" t="str">
        <x:v>EA / Operations</x:v>
      </x:c>
      <x:c r="I33" s="8" t="str">
        <x:v>team27@lumen-demo.example</x:v>
      </x:c>
      <x:c r="J33" s="8" t="str">
        <x:v>Synthetic intake</x:v>
      </x:c>
    </x:row>
    <x:row r="34" ht="22" customHeight="1">
      <x:c r="A34" s="8" t="str">
        <x:v>LV-028</x:v>
      </x:c>
      <x:c r="B34" s="8" t="str">
        <x:v>Juniper Circle Luxury concierge</x:v>
      </x:c>
      <x:c r="C34" s="8" t="str">
        <x:v>Luxury concierge</x:v>
      </x:c>
      <x:c r="D34" s="8" t="str">
        <x:v>The Hague</x:v>
      </x:c>
      <x:c r="E34" s="8" t="str">
        <x:v>Netherlands</x:v>
      </x:c>
      <x:c r="F34" s="8" t="n">
        <x:v>4</x:v>
      </x:c>
      <x:c r="G34" s="8" t="n">
        <x:v>30</x:v>
      </x:c>
      <x:c r="H34" s="8" t="str">
        <x:v>Partnerships</x:v>
      </x:c>
      <x:c r="I34" s="8" t="str">
        <x:v>team28@lumen-demo.example</x:v>
      </x:c>
      <x:c r="J34" s="8" t="str">
        <x:v>Synthetic intake</x:v>
      </x:c>
    </x:row>
    <x:row r="35" ht="22" customHeight="1">
      <x:c r="A35" s="8" t="str">
        <x:v>LV-029</x:v>
      </x:c>
      <x:c r="B35" s="8" t="str">
        <x:v>Velvet Meridian Luxury concierge</x:v>
      </x:c>
      <x:c r="C35" s="8" t="str">
        <x:v>Luxury concierge</x:v>
      </x:c>
      <x:c r="D35" s="8" t="str">
        <x:v>Eindhoven</x:v>
      </x:c>
      <x:c r="E35" s="8" t="str">
        <x:v>Netherlands</x:v>
      </x:c>
      <x:c r="F35" s="8" t="n">
        <x:v>9</x:v>
      </x:c>
      <x:c r="G35" s="8" t="n">
        <x:v>41</x:v>
      </x:c>
      <x:c r="H35" s="8" t="str">
        <x:v>Travel Manager</x:v>
      </x:c>
      <x:c r="I35" s="8" t="str">
        <x:v>team29@lumen-demo.example</x:v>
      </x:c>
      <x:c r="J35" s="8" t="str">
        <x:v>Synthetic intake</x:v>
      </x:c>
    </x:row>
    <x:row r="36" ht="22" customHeight="1">
      <x:c r="A36" s="8" t="str">
        <x:v>LV-030</x:v>
      </x:c>
      <x:c r="B36" s="8" t="str">
        <x:v>Blue Quay Luxury concierge</x:v>
      </x:c>
      <x:c r="C36" s="8" t="str">
        <x:v>Luxury concierge</x:v>
      </x:c>
      <x:c r="D36" s="8" t="str">
        <x:v>Haarlem</x:v>
      </x:c>
      <x:c r="E36" s="8" t="str">
        <x:v>Netherlands</x:v>
      </x:c>
      <x:c r="F36" s="8" t="n">
        <x:v>14</x:v>
      </x:c>
      <x:c r="G36" s="8" t="n">
        <x:v>52</x:v>
      </x:c>
      <x:c r="H36" s="8" t="str">
        <x:v>Founder</x:v>
      </x:c>
      <x:c r="I36" s="8" t="str">
        <x:v>team30@lumen-demo.example</x:v>
      </x:c>
      <x:c r="J36" s="8" t="str">
        <x:v>Synthetic intake</x:v>
      </x:c>
    </x:row>
    <x:row r="37" ht="22" customHeight="1">
      <x:c r="A37" s="8" t="str">
        <x:v>LV-031</x:v>
      </x:c>
      <x:c r="B37" s="8" t="str">
        <x:v>Avenue Group Luxury concierge</x:v>
      </x:c>
      <x:c r="C37" s="8" t="str">
        <x:v>Luxury concierge</x:v>
      </x:c>
      <x:c r="D37" s="8" t="str">
        <x:v>Amsterdam</x:v>
      </x:c>
      <x:c r="E37" s="8" t="str">
        <x:v>Netherlands</x:v>
      </x:c>
      <x:c r="F37" s="8" t="n">
        <x:v>19</x:v>
      </x:c>
      <x:c r="G37" s="8" t="n">
        <x:v>63</x:v>
      </x:c>
      <x:c r="H37" s="8" t="str">
        <x:v>EA / Operations</x:v>
      </x:c>
      <x:c r="I37" s="8" t="str">
        <x:v>team31@lumen-demo.example</x:v>
      </x:c>
      <x:c r="J37" s="8" t="str">
        <x:v>Synthetic intake</x:v>
      </x:c>
    </x:row>
    <x:row r="38" ht="22" customHeight="1">
      <x:c r="A38" s="8" t="str">
        <x:v>LV-032</x:v>
      </x:c>
      <x:c r="B38" s="8" t="str">
        <x:v>Orchid Point Luxury concierge</x:v>
      </x:c>
      <x:c r="C38" s="8" t="str">
        <x:v>Luxury concierge</x:v>
      </x:c>
      <x:c r="D38" s="8" t="str">
        <x:v>Rotterdam</x:v>
      </x:c>
      <x:c r="E38" s="8" t="str">
        <x:v>Netherlands</x:v>
      </x:c>
      <x:c r="F38" s="8" t="n">
        <x:v>5</x:v>
      </x:c>
      <x:c r="G38" s="8" t="n">
        <x:v>74</x:v>
      </x:c>
      <x:c r="H38" s="8" t="str">
        <x:v>Partnerships</x:v>
      </x:c>
      <x:c r="I38" s="8" t="str">
        <x:v>team32@lumen-demo.example</x:v>
      </x:c>
      <x:c r="J38" s="8" t="str">
        <x:v>Synthetic intake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29" hidden="0" customWidth="1"/>
    <x:col min="3" max="3" width="20" hidden="0" customWidth="1"/>
    <x:col min="4" max="4" width="16" hidden="0" customWidth="1"/>
    <x:col min="5" max="5" width="16" hidden="0" customWidth="1"/>
    <x:col min="6" max="6" width="13" hidden="0" customWidth="1"/>
    <x:col min="7" max="7" width="13" hidden="0" customWidth="1"/>
    <x:col min="8" max="8" width="21" hidden="0" customWidth="1"/>
    <x:col min="9" max="9" width="30" hidden="0" customWidth="1"/>
    <x:col min="10" max="10" width="17" hidden="0" customWidth="1"/>
    <x:col min="11" max="11" width="18" hidden="0" customWidth="1"/>
    <x:col min="12" max="12" width="18" hidden="0" customWidth="1"/>
    <x:col min="13" max="13" width="13" hidden="0" customWidth="1"/>
    <x:col min="14" max="14" width="18" hidden="0" customWidth="1"/>
    <x:col min="15" max="15" width="19" hidden="0" customWidth="1"/>
    <x:col min="16" max="16" width="24" hidden="0" customWidth="1"/>
    <x:col min="17" max="17" width="27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5" customHeight="1">
      <x:c r="A2" s="2" t="str">
        <x:v>CLEANING, QA AND HANDOFF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2" customHeight="1">
      <x:c r="A3" s="3" t="str">
        <x:v>Formula-based standardization, duplicate triage, qualification and import gate.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6" ht="28" customHeight="1">
      <x:c r="A6" s="7" t="str">
        <x:v>ID</x:v>
      </x:c>
      <x:c r="B6" s="7" t="str">
        <x:v>Normalized account</x:v>
      </x:c>
      <x:c r="C6" s="7" t="str">
        <x:v>Type</x:v>
      </x:c>
      <x:c r="D6" s="7" t="str">
        <x:v>City</x:v>
      </x:c>
      <x:c r="E6" s="7" t="str">
        <x:v>Country</x:v>
      </x:c>
      <x:c r="F6" s="7" t="str">
        <x:v>Annual trips</x:v>
      </x:c>
      <x:c r="G6" s="7" t="str">
        <x:v>Travelers</x:v>
      </x:c>
      <x:c r="H6" s="7" t="str">
        <x:v>Decision role</x:v>
      </x:c>
      <x:c r="I6" s="7" t="str">
        <x:v>Email</x:v>
      </x:c>
      <x:c r="J6" s="7" t="str">
        <x:v>Duplicate count</x:v>
      </x:c>
      <x:c r="K6" s="7" t="str">
        <x:v>Email check</x:v>
      </x:c>
      <x:c r="L6" s="7" t="str">
        <x:v>Market check</x:v>
      </x:c>
      <x:c r="M6" s="7" t="str">
        <x:v>Fit score</x:v>
      </x:c>
      <x:c r="N6" s="7" t="str">
        <x:v>Tier</x:v>
      </x:c>
      <x:c r="O6" s="7" t="str">
        <x:v>QA result</x:v>
      </x:c>
      <x:c r="P6" s="7" t="str">
        <x:v>Next action</x:v>
      </x:c>
      <x:c r="Q6" s="7" t="str">
        <x:v>CRM stage</x:v>
      </x:c>
    </x:row>
    <x:row r="7" ht="22" customHeight="1">
      <x:c r="A7" s="8" t="str">
        <x:f>'Raw Intake'!A7</x:f>
        <x:v>LV-001</x:v>
      </x:c>
      <x:c r="B7" s="8" t="str">
        <x:f>TRIM(CLEAN('Raw Intake'!B7))</x:f>
        <x:v>Silk Harbor Corporate</x:v>
      </x:c>
      <x:c r="C7" s="8" t="str">
        <x:f>'Raw Intake'!C7</x:f>
        <x:v>Corporate</x:v>
      </x:c>
      <x:c r="D7" s="8" t="str">
        <x:f>'Raw Intake'!D7</x:f>
        <x:v>Amsterdam</x:v>
      </x:c>
      <x:c r="E7" s="8" t="str">
        <x:f>'Raw Intake'!E7</x:f>
        <x:v>Netherlands</x:v>
      </x:c>
      <x:c r="F7" s="8" t="n">
        <x:f>'Raw Intake'!F7</x:f>
        <x:v>2</x:v>
      </x:c>
      <x:c r="G7" s="8" t="n">
        <x:f>'Raw Intake'!G7</x:f>
        <x:v>3</x:v>
      </x:c>
      <x:c r="H7" s="8" t="str">
        <x:f>'Raw Intake'!H7</x:f>
        <x:v>Travel Manager</x:v>
      </x:c>
      <x:c r="I7" s="8" t="str">
        <x:f>LOWER(TRIM('Raw Intake'!I7))</x:f>
        <x:v>team1@lumen-demo.example</x:v>
      </x:c>
      <x:c r="J7" s="9" t="n">
        <x:f>COUNTIF($B$7:$B$38,B7)</x:f>
        <x:v>1</x:v>
      </x:c>
      <x:c r="K7" s="9" t="str">
        <x:f>IF(AND(ISNUMBER(SEARCH("@",I7)),ISNUMBER(SEARCH(".example",I7))),"Demo format OK","Review email")</x:f>
        <x:v>Demo format OK</x:v>
      </x:c>
      <x:c r="L7" s="9" t="str">
        <x:f>IF(E7="Netherlands","In scope","Review market")</x:f>
        <x:v>In scope</x:v>
      </x:c>
      <x:c r="M7" s="9" t="n">
        <x:f>MIN(100,ROUND(MIN(F7,20)*2+MIN(G7,80)*0.4+IF(C7="Corporate",28,IF(C7="Event planner",18,10)),0))</x:f>
        <x:v>33</x:v>
      </x:c>
      <x:c r="N7" s="9" t="str">
        <x:f>IF(M7&gt;=70,"A / discovery",IF(M7&gt;=45,"B / research","C / defer"))</x:f>
        <x:v>C / defer</x:v>
      </x:c>
      <x:c r="O7" s="9" t="str">
        <x:f>IF(J7&gt;1,"Duplicate review",IF(K7="Review email","Email review",IF(L7="Review market","Market review","Reviewable")))</x:f>
        <x:v>Reviewable</x:v>
      </x:c>
      <x:c r="P7" s="9" t="str">
        <x:f>IF(O7="Duplicate review","Compare source rows",IF(O7&lt;&gt;"Reviewable","Resolve exception",IF(N7="A / discovery","Research buying committee","Map account context")))</x:f>
        <x:v>Map account context</x:v>
      </x:c>
      <x:c r="Q7" s="9" t="str">
        <x:f>IF(O7="Reviewable","Draft - verify externally","Hold - QA")</x:f>
        <x:v>Draft - verify externally</x:v>
      </x:c>
    </x:row>
    <x:row r="8" ht="22" customHeight="1">
      <x:c r="A8" s="8" t="str">
        <x:f>'Raw Intake'!A8</x:f>
        <x:v>LV-002</x:v>
      </x:c>
      <x:c r="B8" s="8" t="str">
        <x:f>TRIM(CLEAN('Raw Intake'!B8))</x:f>
        <x:v>Canal North Corporate</x:v>
      </x:c>
      <x:c r="C8" s="8" t="str">
        <x:f>'Raw Intake'!C8</x:f>
        <x:v>Corporate</x:v>
      </x:c>
      <x:c r="D8" s="8" t="str">
        <x:f>'Raw Intake'!D8</x:f>
        <x:v>Rotterdam</x:v>
      </x:c>
      <x:c r="E8" s="8" t="str">
        <x:f>'Raw Intake'!E8</x:f>
        <x:v>Netherlands</x:v>
      </x:c>
      <x:c r="F8" s="8" t="n">
        <x:f>'Raw Intake'!F8</x:f>
        <x:v>7</x:v>
      </x:c>
      <x:c r="G8" s="8" t="n">
        <x:f>'Raw Intake'!G8</x:f>
        <x:v>14</x:v>
      </x:c>
      <x:c r="H8" s="8" t="str">
        <x:f>'Raw Intake'!H8</x:f>
        <x:v>Founder</x:v>
      </x:c>
      <x:c r="I8" s="8" t="str">
        <x:f>LOWER(TRIM('Raw Intake'!I8))</x:f>
        <x:v>team2@lumen-demo.example</x:v>
      </x:c>
      <x:c r="J8" s="9" t="n">
        <x:f>COUNTIF($B$7:$B$38,B8)</x:f>
        <x:v>1</x:v>
      </x:c>
      <x:c r="K8" s="9" t="str">
        <x:f>IF(AND(ISNUMBER(SEARCH("@",I8)),ISNUMBER(SEARCH(".example",I8))),"Demo format OK","Review email")</x:f>
        <x:v>Demo format OK</x:v>
      </x:c>
      <x:c r="L8" s="9" t="str">
        <x:f>IF(E8="Netherlands","In scope","Review market")</x:f>
        <x:v>In scope</x:v>
      </x:c>
      <x:c r="M8" s="9" t="n">
        <x:f>MIN(100,ROUND(MIN(F8,20)*2+MIN(G8,80)*0.4+IF(C8="Corporate",28,IF(C8="Event planner",18,10)),0))</x:f>
        <x:v>48</x:v>
      </x:c>
      <x:c r="N8" s="9" t="str">
        <x:f>IF(M8&gt;=70,"A / discovery",IF(M8&gt;=45,"B / research","C / defer"))</x:f>
        <x:v>B / research</x:v>
      </x:c>
      <x:c r="O8" s="9" t="str">
        <x:f>IF(J8&gt;1,"Duplicate review",IF(K8="Review email","Email review",IF(L8="Review market","Market review","Reviewable")))</x:f>
        <x:v>Reviewable</x:v>
      </x:c>
      <x:c r="P8" s="9" t="str">
        <x:f>IF(O8="Duplicate review","Compare source rows",IF(O8&lt;&gt;"Reviewable","Resolve exception",IF(N8="A / discovery","Research buying committee","Map account context")))</x:f>
        <x:v>Map account context</x:v>
      </x:c>
      <x:c r="Q8" s="9" t="str">
        <x:f>IF(O8="Reviewable","Draft - verify externally","Hold - QA")</x:f>
        <x:v>Draft - verify externally</x:v>
      </x:c>
    </x:row>
    <x:row r="9" ht="22" customHeight="1">
      <x:c r="A9" s="8" t="str">
        <x:f>'Raw Intake'!A9</x:f>
        <x:v>LV-003</x:v>
      </x:c>
      <x:c r="B9" s="8" t="str">
        <x:f>TRIM(CLEAN('Raw Intake'!B9))</x:f>
        <x:v>Atlas House Corporate</x:v>
      </x:c>
      <x:c r="C9" s="8" t="str">
        <x:f>'Raw Intake'!C9</x:f>
        <x:v>Corporate</x:v>
      </x:c>
      <x:c r="D9" s="8" t="str">
        <x:f>'Raw Intake'!D9</x:f>
        <x:v>Utrecht</x:v>
      </x:c>
      <x:c r="E9" s="8" t="str">
        <x:f>'Raw Intake'!E9</x:f>
        <x:v>Netherlands</x:v>
      </x:c>
      <x:c r="F9" s="8" t="n">
        <x:f>'Raw Intake'!F9</x:f>
        <x:v>12</x:v>
      </x:c>
      <x:c r="G9" s="8" t="n">
        <x:f>'Raw Intake'!G9</x:f>
        <x:v>25</x:v>
      </x:c>
      <x:c r="H9" s="8" t="str">
        <x:f>'Raw Intake'!H9</x:f>
        <x:v>EA / Operations</x:v>
      </x:c>
      <x:c r="I9" s="8" t="str">
        <x:f>LOWER(TRIM('Raw Intake'!I9))</x:f>
        <x:v>team3@lumen-demo.example</x:v>
      </x:c>
      <x:c r="J9" s="9" t="n">
        <x:f>COUNTIF($B$7:$B$38,B9)</x:f>
        <x:v>1</x:v>
      </x:c>
      <x:c r="K9" s="9" t="str">
        <x:f>IF(AND(ISNUMBER(SEARCH("@",I9)),ISNUMBER(SEARCH(".example",I9))),"Demo format OK","Review email")</x:f>
        <x:v>Demo format OK</x:v>
      </x:c>
      <x:c r="L9" s="9" t="str">
        <x:f>IF(E9="Netherlands","In scope","Review market")</x:f>
        <x:v>In scope</x:v>
      </x:c>
      <x:c r="M9" s="9" t="n">
        <x:f>MIN(100,ROUND(MIN(F9,20)*2+MIN(G9,80)*0.4+IF(C9="Corporate",28,IF(C9="Event planner",18,10)),0))</x:f>
        <x:v>62</x:v>
      </x:c>
      <x:c r="N9" s="9" t="str">
        <x:f>IF(M9&gt;=70,"A / discovery",IF(M9&gt;=45,"B / research","C / defer"))</x:f>
        <x:v>B / research</x:v>
      </x:c>
      <x:c r="O9" s="9" t="str">
        <x:f>IF(J9&gt;1,"Duplicate review",IF(K9="Review email","Email review",IF(L9="Review market","Market review","Reviewable")))</x:f>
        <x:v>Reviewable</x:v>
      </x:c>
      <x:c r="P9" s="9" t="str">
        <x:f>IF(O9="Duplicate review","Compare source rows",IF(O9&lt;&gt;"Reviewable","Resolve exception",IF(N9="A / discovery","Research buying committee","Map account context")))</x:f>
        <x:v>Map account context</x:v>
      </x:c>
      <x:c r="Q9" s="9" t="str">
        <x:f>IF(O9="Reviewable","Draft - verify externally","Hold - QA")</x:f>
        <x:v>Draft - verify externally</x:v>
      </x:c>
    </x:row>
    <x:row r="10" ht="22" customHeight="1">
      <x:c r="A10" s="8" t="str">
        <x:f>'Raw Intake'!A10</x:f>
        <x:v>LV-004</x:v>
      </x:c>
      <x:c r="B10" s="8" t="str">
        <x:f>TRIM(CLEAN('Raw Intake'!B10))</x:f>
        <x:v>Juniper Circle Corporate</x:v>
      </x:c>
      <x:c r="C10" s="8" t="str">
        <x:f>'Raw Intake'!C10</x:f>
        <x:v>Corporate</x:v>
      </x:c>
      <x:c r="D10" s="8" t="str">
        <x:f>'Raw Intake'!D10</x:f>
        <x:v>The Hague</x:v>
      </x:c>
      <x:c r="E10" s="8" t="str">
        <x:f>'Raw Intake'!E10</x:f>
        <x:v>Netherlands</x:v>
      </x:c>
      <x:c r="F10" s="8" t="n">
        <x:f>'Raw Intake'!F10</x:f>
        <x:v>17</x:v>
      </x:c>
      <x:c r="G10" s="8" t="n">
        <x:f>'Raw Intake'!G10</x:f>
        <x:v>36</x:v>
      </x:c>
      <x:c r="H10" s="8" t="str">
        <x:f>'Raw Intake'!H10</x:f>
        <x:v>Partnerships</x:v>
      </x:c>
      <x:c r="I10" s="8" t="str">
        <x:f>LOWER(TRIM('Raw Intake'!I10))</x:f>
        <x:v>team4@lumen-demo.example</x:v>
      </x:c>
      <x:c r="J10" s="9" t="n">
        <x:f>COUNTIF($B$7:$B$38,B10)</x:f>
        <x:v>2</x:v>
      </x:c>
      <x:c r="K10" s="9" t="str">
        <x:f>IF(AND(ISNUMBER(SEARCH("@",I10)),ISNUMBER(SEARCH(".example",I10))),"Demo format OK","Review email")</x:f>
        <x:v>Demo format OK</x:v>
      </x:c>
      <x:c r="L10" s="9" t="str">
        <x:f>IF(E10="Netherlands","In scope","Review market")</x:f>
        <x:v>In scope</x:v>
      </x:c>
      <x:c r="M10" s="9" t="n">
        <x:f>MIN(100,ROUND(MIN(F10,20)*2+MIN(G10,80)*0.4+IF(C10="Corporate",28,IF(C10="Event planner",18,10)),0))</x:f>
        <x:v>76</x:v>
      </x:c>
      <x:c r="N10" s="9" t="str">
        <x:f>IF(M10&gt;=70,"A / discovery",IF(M10&gt;=45,"B / research","C / defer"))</x:f>
        <x:v>A / discovery</x:v>
      </x:c>
      <x:c r="O10" s="9" t="str">
        <x:f>IF(J10&gt;1,"Duplicate review",IF(K10="Review email","Email review",IF(L10="Review market","Market review","Reviewable")))</x:f>
        <x:v>Duplicate review</x:v>
      </x:c>
      <x:c r="P10" s="9" t="str">
        <x:f>IF(O10="Duplicate review","Compare source rows",IF(O10&lt;&gt;"Reviewable","Resolve exception",IF(N10="A / discovery","Research buying committee","Map account context")))</x:f>
        <x:v>Compare source rows</x:v>
      </x:c>
      <x:c r="Q10" s="9" t="str">
        <x:f>IF(O10="Reviewable","Draft - verify externally","Hold - QA")</x:f>
        <x:v>Hold - QA</x:v>
      </x:c>
    </x:row>
    <x:row r="11" ht="22" customHeight="1">
      <x:c r="A11" s="8" t="str">
        <x:f>'Raw Intake'!A11</x:f>
        <x:v>LV-005</x:v>
      </x:c>
      <x:c r="B11" s="8" t="str">
        <x:f>TRIM(CLEAN('Raw Intake'!B11))</x:f>
        <x:v>Velvet Meridian Corporate</x:v>
      </x:c>
      <x:c r="C11" s="8" t="str">
        <x:f>'Raw Intake'!C11</x:f>
        <x:v>Corporate</x:v>
      </x:c>
      <x:c r="D11" s="8" t="str">
        <x:f>'Raw Intake'!D11</x:f>
        <x:v>Eindhoven</x:v>
      </x:c>
      <x:c r="E11" s="8" t="str">
        <x:f>'Raw Intake'!E11</x:f>
        <x:v>Netherlands</x:v>
      </x:c>
      <x:c r="F11" s="8" t="n">
        <x:f>'Raw Intake'!F11</x:f>
        <x:v>3</x:v>
      </x:c>
      <x:c r="G11" s="8" t="n">
        <x:f>'Raw Intake'!G11</x:f>
        <x:v>47</x:v>
      </x:c>
      <x:c r="H11" s="8" t="str">
        <x:f>'Raw Intake'!H11</x:f>
        <x:v>Travel Manager</x:v>
      </x:c>
      <x:c r="I11" s="8" t="str">
        <x:f>LOWER(TRIM('Raw Intake'!I11))</x:f>
        <x:v>team5@lumen-demo.example</x:v>
      </x:c>
      <x:c r="J11" s="9" t="n">
        <x:f>COUNTIF($B$7:$B$38,B11)</x:f>
        <x:v>1</x:v>
      </x:c>
      <x:c r="K11" s="9" t="str">
        <x:f>IF(AND(ISNUMBER(SEARCH("@",I11)),ISNUMBER(SEARCH(".example",I11))),"Demo format OK","Review email")</x:f>
        <x:v>Demo format OK</x:v>
      </x:c>
      <x:c r="L11" s="9" t="str">
        <x:f>IF(E11="Netherlands","In scope","Review market")</x:f>
        <x:v>In scope</x:v>
      </x:c>
      <x:c r="M11" s="9" t="n">
        <x:f>MIN(100,ROUND(MIN(F11,20)*2+MIN(G11,80)*0.4+IF(C11="Corporate",28,IF(C11="Event planner",18,10)),0))</x:f>
        <x:v>53</x:v>
      </x:c>
      <x:c r="N11" s="9" t="str">
        <x:f>IF(M11&gt;=70,"A / discovery",IF(M11&gt;=45,"B / research","C / defer"))</x:f>
        <x:v>B / research</x:v>
      </x:c>
      <x:c r="O11" s="9" t="str">
        <x:f>IF(J11&gt;1,"Duplicate review",IF(K11="Review email","Email review",IF(L11="Review market","Market review","Reviewable")))</x:f>
        <x:v>Reviewable</x:v>
      </x:c>
      <x:c r="P11" s="9" t="str">
        <x:f>IF(O11="Duplicate review","Compare source rows",IF(O11&lt;&gt;"Reviewable","Resolve exception",IF(N11="A / discovery","Research buying committee","Map account context")))</x:f>
        <x:v>Map account context</x:v>
      </x:c>
      <x:c r="Q11" s="9" t="str">
        <x:f>IF(O11="Reviewable","Draft - verify externally","Hold - QA")</x:f>
        <x:v>Draft - verify externally</x:v>
      </x:c>
    </x:row>
    <x:row r="12" ht="22" customHeight="1">
      <x:c r="A12" s="8" t="str">
        <x:f>'Raw Intake'!A12</x:f>
        <x:v>LV-006</x:v>
      </x:c>
      <x:c r="B12" s="8" t="str">
        <x:f>TRIM(CLEAN('Raw Intake'!B12))</x:f>
        <x:v>Blue Quay Corporate</x:v>
      </x:c>
      <x:c r="C12" s="8" t="str">
        <x:f>'Raw Intake'!C12</x:f>
        <x:v>Corporate</x:v>
      </x:c>
      <x:c r="D12" s="8" t="str">
        <x:f>'Raw Intake'!D12</x:f>
        <x:v>Haarlem</x:v>
      </x:c>
      <x:c r="E12" s="8" t="str">
        <x:f>'Raw Intake'!E12</x:f>
        <x:v>Netherlands</x:v>
      </x:c>
      <x:c r="F12" s="8" t="n">
        <x:f>'Raw Intake'!F12</x:f>
        <x:v>8</x:v>
      </x:c>
      <x:c r="G12" s="8" t="n">
        <x:f>'Raw Intake'!G12</x:f>
        <x:v>58</x:v>
      </x:c>
      <x:c r="H12" s="8" t="str">
        <x:f>'Raw Intake'!H12</x:f>
        <x:v>Founder</x:v>
      </x:c>
      <x:c r="I12" s="8" t="str">
        <x:f>LOWER(TRIM('Raw Intake'!I12))</x:f>
        <x:v>team6@lumen-demo.example</x:v>
      </x:c>
      <x:c r="J12" s="9" t="n">
        <x:f>COUNTIF($B$7:$B$38,B12)</x:f>
        <x:v>1</x:v>
      </x:c>
      <x:c r="K12" s="9" t="str">
        <x:f>IF(AND(ISNUMBER(SEARCH("@",I12)),ISNUMBER(SEARCH(".example",I12))),"Demo format OK","Review email")</x:f>
        <x:v>Demo format OK</x:v>
      </x:c>
      <x:c r="L12" s="9" t="str">
        <x:f>IF(E12="Netherlands","In scope","Review market")</x:f>
        <x:v>In scope</x:v>
      </x:c>
      <x:c r="M12" s="9" t="n">
        <x:f>MIN(100,ROUND(MIN(F12,20)*2+MIN(G12,80)*0.4+IF(C12="Corporate",28,IF(C12="Event planner",18,10)),0))</x:f>
        <x:v>67</x:v>
      </x:c>
      <x:c r="N12" s="9" t="str">
        <x:f>IF(M12&gt;=70,"A / discovery",IF(M12&gt;=45,"B / research","C / defer"))</x:f>
        <x:v>B / research</x:v>
      </x:c>
      <x:c r="O12" s="9" t="str">
        <x:f>IF(J12&gt;1,"Duplicate review",IF(K12="Review email","Email review",IF(L12="Review market","Market review","Reviewable")))</x:f>
        <x:v>Reviewable</x:v>
      </x:c>
      <x:c r="P12" s="9" t="str">
        <x:f>IF(O12="Duplicate review","Compare source rows",IF(O12&lt;&gt;"Reviewable","Resolve exception",IF(N12="A / discovery","Research buying committee","Map account context")))</x:f>
        <x:v>Map account context</x:v>
      </x:c>
      <x:c r="Q12" s="9" t="str">
        <x:f>IF(O12="Reviewable","Draft - verify externally","Hold - QA")</x:f>
        <x:v>Draft - verify externally</x:v>
      </x:c>
    </x:row>
    <x:row r="13" ht="22" customHeight="1">
      <x:c r="A13" s="8" t="str">
        <x:f>'Raw Intake'!A13</x:f>
        <x:v>LV-007</x:v>
      </x:c>
      <x:c r="B13" s="8" t="str">
        <x:f>TRIM(CLEAN('Raw Intake'!B13))</x:f>
        <x:v>Avenue Group Corporate</x:v>
      </x:c>
      <x:c r="C13" s="8" t="str">
        <x:f>'Raw Intake'!C13</x:f>
        <x:v>Corporate</x:v>
      </x:c>
      <x:c r="D13" s="8" t="str">
        <x:f>'Raw Intake'!D13</x:f>
        <x:v>Amsterdam</x:v>
      </x:c>
      <x:c r="E13" s="8" t="str">
        <x:f>'Raw Intake'!E13</x:f>
        <x:v>Netherlands</x:v>
      </x:c>
      <x:c r="F13" s="8" t="n">
        <x:f>'Raw Intake'!F13</x:f>
        <x:v>13</x:v>
      </x:c>
      <x:c r="G13" s="8" t="n">
        <x:f>'Raw Intake'!G13</x:f>
        <x:v>69</x:v>
      </x:c>
      <x:c r="H13" s="8" t="str">
        <x:f>'Raw Intake'!H13</x:f>
        <x:v>EA / Operations</x:v>
      </x:c>
      <x:c r="I13" s="8" t="str">
        <x:f>LOWER(TRIM('Raw Intake'!I13))</x:f>
        <x:v>team7@lumen-demo.example</x:v>
      </x:c>
      <x:c r="J13" s="9" t="n">
        <x:f>COUNTIF($B$7:$B$38,B13)</x:f>
        <x:v>1</x:v>
      </x:c>
      <x:c r="K13" s="9" t="str">
        <x:f>IF(AND(ISNUMBER(SEARCH("@",I13)),ISNUMBER(SEARCH(".example",I13))),"Demo format OK","Review email")</x:f>
        <x:v>Demo format OK</x:v>
      </x:c>
      <x:c r="L13" s="9" t="str">
        <x:f>IF(E13="Netherlands","In scope","Review market")</x:f>
        <x:v>In scope</x:v>
      </x:c>
      <x:c r="M13" s="9" t="n">
        <x:f>MIN(100,ROUND(MIN(F13,20)*2+MIN(G13,80)*0.4+IF(C13="Corporate",28,IF(C13="Event planner",18,10)),0))</x:f>
        <x:v>82</x:v>
      </x:c>
      <x:c r="N13" s="9" t="str">
        <x:f>IF(M13&gt;=70,"A / discovery",IF(M13&gt;=45,"B / research","C / defer"))</x:f>
        <x:v>A / discovery</x:v>
      </x:c>
      <x:c r="O13" s="9" t="str">
        <x:f>IF(J13&gt;1,"Duplicate review",IF(K13="Review email","Email review",IF(L13="Review market","Market review","Reviewable")))</x:f>
        <x:v>Reviewable</x:v>
      </x:c>
      <x:c r="P13" s="9" t="str">
        <x:f>IF(O13="Duplicate review","Compare source rows",IF(O13&lt;&gt;"Reviewable","Resolve exception",IF(N13="A / discovery","Research buying committee","Map account context")))</x:f>
        <x:v>Research buying committee</x:v>
      </x:c>
      <x:c r="Q13" s="9" t="str">
        <x:f>IF(O13="Reviewable","Draft - verify externally","Hold - QA")</x:f>
        <x:v>Draft - verify externally</x:v>
      </x:c>
    </x:row>
    <x:row r="14" ht="22" customHeight="1">
      <x:c r="A14" s="8" t="str">
        <x:f>'Raw Intake'!A14</x:f>
        <x:v>LV-008</x:v>
      </x:c>
      <x:c r="B14" s="8" t="str">
        <x:f>TRIM(CLEAN('Raw Intake'!B14))</x:f>
        <x:v>Orchid Point Corporate</x:v>
      </x:c>
      <x:c r="C14" s="8" t="str">
        <x:f>'Raw Intake'!C14</x:f>
        <x:v>Corporate</x:v>
      </x:c>
      <x:c r="D14" s="8" t="str">
        <x:f>'Raw Intake'!D14</x:f>
        <x:v>Rotterdam</x:v>
      </x:c>
      <x:c r="E14" s="8" t="str">
        <x:f>'Raw Intake'!E14</x:f>
        <x:v>Netherlands</x:v>
      </x:c>
      <x:c r="F14" s="8" t="n">
        <x:f>'Raw Intake'!F14</x:f>
        <x:v>18</x:v>
      </x:c>
      <x:c r="G14" s="8" t="n">
        <x:f>'Raw Intake'!G14</x:f>
        <x:v>80</x:v>
      </x:c>
      <x:c r="H14" s="8" t="str">
        <x:f>'Raw Intake'!H14</x:f>
        <x:v>Partnerships</x:v>
      </x:c>
      <x:c r="I14" s="8" t="str">
        <x:f>LOWER(TRIM('Raw Intake'!I14))</x:f>
        <x:v>team8@lumen-demo.example</x:v>
      </x:c>
      <x:c r="J14" s="9" t="n">
        <x:f>COUNTIF($B$7:$B$38,B14)</x:f>
        <x:v>1</x:v>
      </x:c>
      <x:c r="K14" s="9" t="str">
        <x:f>IF(AND(ISNUMBER(SEARCH("@",I14)),ISNUMBER(SEARCH(".example",I14))),"Demo format OK","Review email")</x:f>
        <x:v>Demo format OK</x:v>
      </x:c>
      <x:c r="L14" s="9" t="str">
        <x:f>IF(E14="Netherlands","In scope","Review market")</x:f>
        <x:v>In scope</x:v>
      </x:c>
      <x:c r="M14" s="9" t="n">
        <x:f>MIN(100,ROUND(MIN(F14,20)*2+MIN(G14,80)*0.4+IF(C14="Corporate",28,IF(C14="Event planner",18,10)),0))</x:f>
        <x:v>96</x:v>
      </x:c>
      <x:c r="N14" s="9" t="str">
        <x:f>IF(M14&gt;=70,"A / discovery",IF(M14&gt;=45,"B / research","C / defer"))</x:f>
        <x:v>A / discovery</x:v>
      </x:c>
      <x:c r="O14" s="9" t="str">
        <x:f>IF(J14&gt;1,"Duplicate review",IF(K14="Review email","Email review",IF(L14="Review market","Market review","Reviewable")))</x:f>
        <x:v>Reviewable</x:v>
      </x:c>
      <x:c r="P14" s="9" t="str">
        <x:f>IF(O14="Duplicate review","Compare source rows",IF(O14&lt;&gt;"Reviewable","Resolve exception",IF(N14="A / discovery","Research buying committee","Map account context")))</x:f>
        <x:v>Research buying committee</x:v>
      </x:c>
      <x:c r="Q14" s="9" t="str">
        <x:f>IF(O14="Reviewable","Draft - verify externally","Hold - QA")</x:f>
        <x:v>Draft - verify externally</x:v>
      </x:c>
    </x:row>
    <x:row r="15" ht="22" customHeight="1">
      <x:c r="A15" s="8" t="str">
        <x:f>'Raw Intake'!A15</x:f>
        <x:v>LV-009</x:v>
      </x:c>
      <x:c r="B15" s="8" t="str">
        <x:f>TRIM(CLEAN('Raw Intake'!B15))</x:f>
        <x:v>Silk Harbor Travel advisor</x:v>
      </x:c>
      <x:c r="C15" s="8" t="str">
        <x:f>'Raw Intake'!C15</x:f>
        <x:v>Travel advisor</x:v>
      </x:c>
      <x:c r="D15" s="8" t="str">
        <x:f>'Raw Intake'!D15</x:f>
        <x:v>Utrecht</x:v>
      </x:c>
      <x:c r="E15" s="8" t="str">
        <x:f>'Raw Intake'!E15</x:f>
        <x:v>Netherlands</x:v>
      </x:c>
      <x:c r="F15" s="8" t="n">
        <x:f>'Raw Intake'!F15</x:f>
        <x:v>4</x:v>
      </x:c>
      <x:c r="G15" s="8" t="n">
        <x:f>'Raw Intake'!G15</x:f>
        <x:v>91</x:v>
      </x:c>
      <x:c r="H15" s="8" t="str">
        <x:f>'Raw Intake'!H15</x:f>
        <x:v>Travel Manager</x:v>
      </x:c>
      <x:c r="I15" s="8" t="str">
        <x:f>LOWER(TRIM('Raw Intake'!I15))</x:f>
        <x:v>missing</x:v>
      </x:c>
      <x:c r="J15" s="9" t="n">
        <x:f>COUNTIF($B$7:$B$38,B15)</x:f>
        <x:v>1</x:v>
      </x:c>
      <x:c r="K15" s="9" t="str">
        <x:f>IF(AND(ISNUMBER(SEARCH("@",I15)),ISNUMBER(SEARCH(".example",I15))),"Demo format OK","Review email")</x:f>
        <x:v>Review email</x:v>
      </x:c>
      <x:c r="L15" s="9" t="str">
        <x:f>IF(E15="Netherlands","In scope","Review market")</x:f>
        <x:v>In scope</x:v>
      </x:c>
      <x:c r="M15" s="9" t="n">
        <x:f>MIN(100,ROUND(MIN(F15,20)*2+MIN(G15,80)*0.4+IF(C15="Corporate",28,IF(C15="Event planner",18,10)),0))</x:f>
        <x:v>50</x:v>
      </x:c>
      <x:c r="N15" s="9" t="str">
        <x:f>IF(M15&gt;=70,"A / discovery",IF(M15&gt;=45,"B / research","C / defer"))</x:f>
        <x:v>B / research</x:v>
      </x:c>
      <x:c r="O15" s="9" t="str">
        <x:f>IF(J15&gt;1,"Duplicate review",IF(K15="Review email","Email review",IF(L15="Review market","Market review","Reviewable")))</x:f>
        <x:v>Email review</x:v>
      </x:c>
      <x:c r="P15" s="9" t="str">
        <x:f>IF(O15="Duplicate review","Compare source rows",IF(O15&lt;&gt;"Reviewable","Resolve exception",IF(N15="A / discovery","Research buying committee","Map account context")))</x:f>
        <x:v>Resolve exception</x:v>
      </x:c>
      <x:c r="Q15" s="9" t="str">
        <x:f>IF(O15="Reviewable","Draft - verify externally","Hold - QA")</x:f>
        <x:v>Hold - QA</x:v>
      </x:c>
    </x:row>
    <x:row r="16" ht="22" customHeight="1">
      <x:c r="A16" s="8" t="str">
        <x:f>'Raw Intake'!A16</x:f>
        <x:v>LV-010</x:v>
      </x:c>
      <x:c r="B16" s="8" t="str">
        <x:f>TRIM(CLEAN('Raw Intake'!B16))</x:f>
        <x:v>Canal North Travel advisor</x:v>
      </x:c>
      <x:c r="C16" s="8" t="str">
        <x:f>'Raw Intake'!C16</x:f>
        <x:v>Travel advisor</x:v>
      </x:c>
      <x:c r="D16" s="8" t="str">
        <x:f>'Raw Intake'!D16</x:f>
        <x:v>The Hague</x:v>
      </x:c>
      <x:c r="E16" s="8" t="str">
        <x:f>'Raw Intake'!E16</x:f>
        <x:v>Netherlands</x:v>
      </x:c>
      <x:c r="F16" s="8" t="n">
        <x:f>'Raw Intake'!F16</x:f>
        <x:v>9</x:v>
      </x:c>
      <x:c r="G16" s="8" t="n">
        <x:f>'Raw Intake'!G16</x:f>
        <x:v>12</x:v>
      </x:c>
      <x:c r="H16" s="8" t="str">
        <x:f>'Raw Intake'!H16</x:f>
        <x:v>Founder</x:v>
      </x:c>
      <x:c r="I16" s="8" t="str">
        <x:f>LOWER(TRIM('Raw Intake'!I16))</x:f>
        <x:v>team10@lumen-demo.example</x:v>
      </x:c>
      <x:c r="J16" s="9" t="n">
        <x:f>COUNTIF($B$7:$B$38,B16)</x:f>
        <x:v>1</x:v>
      </x:c>
      <x:c r="K16" s="9" t="str">
        <x:f>IF(AND(ISNUMBER(SEARCH("@",I16)),ISNUMBER(SEARCH(".example",I16))),"Demo format OK","Review email")</x:f>
        <x:v>Demo format OK</x:v>
      </x:c>
      <x:c r="L16" s="9" t="str">
        <x:f>IF(E16="Netherlands","In scope","Review market")</x:f>
        <x:v>In scope</x:v>
      </x:c>
      <x:c r="M16" s="9" t="n">
        <x:f>MIN(100,ROUND(MIN(F16,20)*2+MIN(G16,80)*0.4+IF(C16="Corporate",28,IF(C16="Event planner",18,10)),0))</x:f>
        <x:v>33</x:v>
      </x:c>
      <x:c r="N16" s="9" t="str">
        <x:f>IF(M16&gt;=70,"A / discovery",IF(M16&gt;=45,"B / research","C / defer"))</x:f>
        <x:v>C / defer</x:v>
      </x:c>
      <x:c r="O16" s="9" t="str">
        <x:f>IF(J16&gt;1,"Duplicate review",IF(K16="Review email","Email review",IF(L16="Review market","Market review","Reviewable")))</x:f>
        <x:v>Reviewable</x:v>
      </x:c>
      <x:c r="P16" s="9" t="str">
        <x:f>IF(O16="Duplicate review","Compare source rows",IF(O16&lt;&gt;"Reviewable","Resolve exception",IF(N16="A / discovery","Research buying committee","Map account context")))</x:f>
        <x:v>Map account context</x:v>
      </x:c>
      <x:c r="Q16" s="9" t="str">
        <x:f>IF(O16="Reviewable","Draft - verify externally","Hold - QA")</x:f>
        <x:v>Draft - verify externally</x:v>
      </x:c>
    </x:row>
    <x:row r="17" ht="22" customHeight="1">
      <x:c r="A17" s="8" t="str">
        <x:f>'Raw Intake'!A17</x:f>
        <x:v>LV-011</x:v>
      </x:c>
      <x:c r="B17" s="8" t="str">
        <x:f>TRIM(CLEAN('Raw Intake'!B17))</x:f>
        <x:v>Atlas House Travel advisor</x:v>
      </x:c>
      <x:c r="C17" s="8" t="str">
        <x:f>'Raw Intake'!C17</x:f>
        <x:v>Travel advisor</x:v>
      </x:c>
      <x:c r="D17" s="8" t="str">
        <x:f>'Raw Intake'!D17</x:f>
        <x:v>Eindhoven</x:v>
      </x:c>
      <x:c r="E17" s="8" t="str">
        <x:f>'Raw Intake'!E17</x:f>
        <x:v>Netherlands</x:v>
      </x:c>
      <x:c r="F17" s="8" t="n">
        <x:f>'Raw Intake'!F17</x:f>
        <x:v>14</x:v>
      </x:c>
      <x:c r="G17" s="8" t="n">
        <x:f>'Raw Intake'!G17</x:f>
        <x:v>23</x:v>
      </x:c>
      <x:c r="H17" s="8" t="str">
        <x:f>'Raw Intake'!H17</x:f>
        <x:v>EA / Operations</x:v>
      </x:c>
      <x:c r="I17" s="8" t="str">
        <x:f>LOWER(TRIM('Raw Intake'!I17))</x:f>
        <x:v>team11@lumen-demo.example</x:v>
      </x:c>
      <x:c r="J17" s="9" t="n">
        <x:f>COUNTIF($B$7:$B$38,B17)</x:f>
        <x:v>1</x:v>
      </x:c>
      <x:c r="K17" s="9" t="str">
        <x:f>IF(AND(ISNUMBER(SEARCH("@",I17)),ISNUMBER(SEARCH(".example",I17))),"Demo format OK","Review email")</x:f>
        <x:v>Demo format OK</x:v>
      </x:c>
      <x:c r="L17" s="9" t="str">
        <x:f>IF(E17="Netherlands","In scope","Review market")</x:f>
        <x:v>In scope</x:v>
      </x:c>
      <x:c r="M17" s="9" t="n">
        <x:f>MIN(100,ROUND(MIN(F17,20)*2+MIN(G17,80)*0.4+IF(C17="Corporate",28,IF(C17="Event planner",18,10)),0))</x:f>
        <x:v>47</x:v>
      </x:c>
      <x:c r="N17" s="9" t="str">
        <x:f>IF(M17&gt;=70,"A / discovery",IF(M17&gt;=45,"B / research","C / defer"))</x:f>
        <x:v>B / research</x:v>
      </x:c>
      <x:c r="O17" s="9" t="str">
        <x:f>IF(J17&gt;1,"Duplicate review",IF(K17="Review email","Email review",IF(L17="Review market","Market review","Reviewable")))</x:f>
        <x:v>Reviewable</x:v>
      </x:c>
      <x:c r="P17" s="9" t="str">
        <x:f>IF(O17="Duplicate review","Compare source rows",IF(O17&lt;&gt;"Reviewable","Resolve exception",IF(N17="A / discovery","Research buying committee","Map account context")))</x:f>
        <x:v>Map account context</x:v>
      </x:c>
      <x:c r="Q17" s="9" t="str">
        <x:f>IF(O17="Reviewable","Draft - verify externally","Hold - QA")</x:f>
        <x:v>Draft - verify externally</x:v>
      </x:c>
    </x:row>
    <x:row r="18" ht="22" customHeight="1">
      <x:c r="A18" s="8" t="str">
        <x:f>'Raw Intake'!A18</x:f>
        <x:v>LV-012</x:v>
      </x:c>
      <x:c r="B18" s="8" t="str">
        <x:f>TRIM(CLEAN('Raw Intake'!B18))</x:f>
        <x:v>JUNIPER CIRCLE CORPORATE</x:v>
      </x:c>
      <x:c r="C18" s="8" t="str">
        <x:f>'Raw Intake'!C18</x:f>
        <x:v>Travel advisor</x:v>
      </x:c>
      <x:c r="D18" s="8" t="str">
        <x:f>'Raw Intake'!D18</x:f>
        <x:v>Haarlem</x:v>
      </x:c>
      <x:c r="E18" s="8" t="str">
        <x:f>'Raw Intake'!E18</x:f>
        <x:v>Netherlands</x:v>
      </x:c>
      <x:c r="F18" s="8" t="n">
        <x:f>'Raw Intake'!F18</x:f>
        <x:v>19</x:v>
      </x:c>
      <x:c r="G18" s="8" t="n">
        <x:f>'Raw Intake'!G18</x:f>
        <x:v>34</x:v>
      </x:c>
      <x:c r="H18" s="8" t="str">
        <x:f>'Raw Intake'!H18</x:f>
        <x:v>Partnerships</x:v>
      </x:c>
      <x:c r="I18" s="8" t="str">
        <x:f>LOWER(TRIM('Raw Intake'!I18))</x:f>
        <x:v>team12@lumen-demo.example</x:v>
      </x:c>
      <x:c r="J18" s="9" t="n">
        <x:f>COUNTIF($B$7:$B$38,B18)</x:f>
        <x:v>2</x:v>
      </x:c>
      <x:c r="K18" s="9" t="str">
        <x:f>IF(AND(ISNUMBER(SEARCH("@",I18)),ISNUMBER(SEARCH(".example",I18))),"Demo format OK","Review email")</x:f>
        <x:v>Demo format OK</x:v>
      </x:c>
      <x:c r="L18" s="9" t="str">
        <x:f>IF(E18="Netherlands","In scope","Review market")</x:f>
        <x:v>In scope</x:v>
      </x:c>
      <x:c r="M18" s="9" t="n">
        <x:f>MIN(100,ROUND(MIN(F18,20)*2+MIN(G18,80)*0.4+IF(C18="Corporate",28,IF(C18="Event planner",18,10)),0))</x:f>
        <x:v>62</x:v>
      </x:c>
      <x:c r="N18" s="9" t="str">
        <x:f>IF(M18&gt;=70,"A / discovery",IF(M18&gt;=45,"B / research","C / defer"))</x:f>
        <x:v>B / research</x:v>
      </x:c>
      <x:c r="O18" s="9" t="str">
        <x:f>IF(J18&gt;1,"Duplicate review",IF(K18="Review email","Email review",IF(L18="Review market","Market review","Reviewable")))</x:f>
        <x:v>Duplicate review</x:v>
      </x:c>
      <x:c r="P18" s="9" t="str">
        <x:f>IF(O18="Duplicate review","Compare source rows",IF(O18&lt;&gt;"Reviewable","Resolve exception",IF(N18="A / discovery","Research buying committee","Map account context")))</x:f>
        <x:v>Compare source rows</x:v>
      </x:c>
      <x:c r="Q18" s="9" t="str">
        <x:f>IF(O18="Reviewable","Draft - verify externally","Hold - QA")</x:f>
        <x:v>Hold - QA</x:v>
      </x:c>
    </x:row>
    <x:row r="19" ht="22" customHeight="1">
      <x:c r="A19" s="8" t="str">
        <x:f>'Raw Intake'!A19</x:f>
        <x:v>LV-013</x:v>
      </x:c>
      <x:c r="B19" s="8" t="str">
        <x:f>TRIM(CLEAN('Raw Intake'!B19))</x:f>
        <x:v>Velvet Meridian Travel advisor</x:v>
      </x:c>
      <x:c r="C19" s="8" t="str">
        <x:f>'Raw Intake'!C19</x:f>
        <x:v>Travel advisor</x:v>
      </x:c>
      <x:c r="D19" s="8" t="str">
        <x:f>'Raw Intake'!D19</x:f>
        <x:v>Amsterdam</x:v>
      </x:c>
      <x:c r="E19" s="8" t="str">
        <x:f>'Raw Intake'!E19</x:f>
        <x:v>Netherlands</x:v>
      </x:c>
      <x:c r="F19" s="8" t="n">
        <x:f>'Raw Intake'!F19</x:f>
        <x:v>5</x:v>
      </x:c>
      <x:c r="G19" s="8" t="n">
        <x:f>'Raw Intake'!G19</x:f>
        <x:v>45</x:v>
      </x:c>
      <x:c r="H19" s="8" t="str">
        <x:f>'Raw Intake'!H19</x:f>
        <x:v>Travel Manager</x:v>
      </x:c>
      <x:c r="I19" s="8" t="str">
        <x:f>LOWER(TRIM('Raw Intake'!I19))</x:f>
        <x:v>team13@lumen-demo.example</x:v>
      </x:c>
      <x:c r="J19" s="9" t="n">
        <x:f>COUNTIF($B$7:$B$38,B19)</x:f>
        <x:v>1</x:v>
      </x:c>
      <x:c r="K19" s="9" t="str">
        <x:f>IF(AND(ISNUMBER(SEARCH("@",I19)),ISNUMBER(SEARCH(".example",I19))),"Demo format OK","Review email")</x:f>
        <x:v>Demo format OK</x:v>
      </x:c>
      <x:c r="L19" s="9" t="str">
        <x:f>IF(E19="Netherlands","In scope","Review market")</x:f>
        <x:v>In scope</x:v>
      </x:c>
      <x:c r="M19" s="9" t="n">
        <x:f>MIN(100,ROUND(MIN(F19,20)*2+MIN(G19,80)*0.4+IF(C19="Corporate",28,IF(C19="Event planner",18,10)),0))</x:f>
        <x:v>38</x:v>
      </x:c>
      <x:c r="N19" s="9" t="str">
        <x:f>IF(M19&gt;=70,"A / discovery",IF(M19&gt;=45,"B / research","C / defer"))</x:f>
        <x:v>C / defer</x:v>
      </x:c>
      <x:c r="O19" s="9" t="str">
        <x:f>IF(J19&gt;1,"Duplicate review",IF(K19="Review email","Email review",IF(L19="Review market","Market review","Reviewable")))</x:f>
        <x:v>Reviewable</x:v>
      </x:c>
      <x:c r="P19" s="9" t="str">
        <x:f>IF(O19="Duplicate review","Compare source rows",IF(O19&lt;&gt;"Reviewable","Resolve exception",IF(N19="A / discovery","Research buying committee","Map account context")))</x:f>
        <x:v>Map account context</x:v>
      </x:c>
      <x:c r="Q19" s="9" t="str">
        <x:f>IF(O19="Reviewable","Draft - verify externally","Hold - QA")</x:f>
        <x:v>Draft - verify externally</x:v>
      </x:c>
    </x:row>
    <x:row r="20" ht="22" customHeight="1">
      <x:c r="A20" s="8" t="str">
        <x:f>'Raw Intake'!A20</x:f>
        <x:v>LV-014</x:v>
      </x:c>
      <x:c r="B20" s="8" t="str">
        <x:f>TRIM(CLEAN('Raw Intake'!B20))</x:f>
        <x:v>Blue Quay Travel advisor</x:v>
      </x:c>
      <x:c r="C20" s="8" t="str">
        <x:f>'Raw Intake'!C20</x:f>
        <x:v>Travel advisor</x:v>
      </x:c>
      <x:c r="D20" s="8" t="str">
        <x:f>'Raw Intake'!D20</x:f>
        <x:v>Rotterdam</x:v>
      </x:c>
      <x:c r="E20" s="8" t="str">
        <x:f>'Raw Intake'!E20</x:f>
        <x:v>Netherlands</x:v>
      </x:c>
      <x:c r="F20" s="8" t="n">
        <x:f>'Raw Intake'!F20</x:f>
        <x:v>10</x:v>
      </x:c>
      <x:c r="G20" s="8" t="n">
        <x:f>'Raw Intake'!G20</x:f>
        <x:v>56</x:v>
      </x:c>
      <x:c r="H20" s="8" t="str">
        <x:f>'Raw Intake'!H20</x:f>
        <x:v>Founder</x:v>
      </x:c>
      <x:c r="I20" s="8" t="str">
        <x:f>LOWER(TRIM('Raw Intake'!I20))</x:f>
        <x:v>team14@lumen-demo.example</x:v>
      </x:c>
      <x:c r="J20" s="9" t="n">
        <x:f>COUNTIF($B$7:$B$38,B20)</x:f>
        <x:v>1</x:v>
      </x:c>
      <x:c r="K20" s="9" t="str">
        <x:f>IF(AND(ISNUMBER(SEARCH("@",I20)),ISNUMBER(SEARCH(".example",I20))),"Demo format OK","Review email")</x:f>
        <x:v>Demo format OK</x:v>
      </x:c>
      <x:c r="L20" s="9" t="str">
        <x:f>IF(E20="Netherlands","In scope","Review market")</x:f>
        <x:v>In scope</x:v>
      </x:c>
      <x:c r="M20" s="9" t="n">
        <x:f>MIN(100,ROUND(MIN(F20,20)*2+MIN(G20,80)*0.4+IF(C20="Corporate",28,IF(C20="Event planner",18,10)),0))</x:f>
        <x:v>52</x:v>
      </x:c>
      <x:c r="N20" s="9" t="str">
        <x:f>IF(M20&gt;=70,"A / discovery",IF(M20&gt;=45,"B / research","C / defer"))</x:f>
        <x:v>B / research</x:v>
      </x:c>
      <x:c r="O20" s="9" t="str">
        <x:f>IF(J20&gt;1,"Duplicate review",IF(K20="Review email","Email review",IF(L20="Review market","Market review","Reviewable")))</x:f>
        <x:v>Reviewable</x:v>
      </x:c>
      <x:c r="P20" s="9" t="str">
        <x:f>IF(O20="Duplicate review","Compare source rows",IF(O20&lt;&gt;"Reviewable","Resolve exception",IF(N20="A / discovery","Research buying committee","Map account context")))</x:f>
        <x:v>Map account context</x:v>
      </x:c>
      <x:c r="Q20" s="9" t="str">
        <x:f>IF(O20="Reviewable","Draft - verify externally","Hold - QA")</x:f>
        <x:v>Draft - verify externally</x:v>
      </x:c>
    </x:row>
    <x:row r="21" ht="22" customHeight="1">
      <x:c r="A21" s="8" t="str">
        <x:f>'Raw Intake'!A21</x:f>
        <x:v>LV-015</x:v>
      </x:c>
      <x:c r="B21" s="8" t="str">
        <x:f>TRIM(CLEAN('Raw Intake'!B21))</x:f>
        <x:v>Avenue Group Travel advisor</x:v>
      </x:c>
      <x:c r="C21" s="8" t="str">
        <x:f>'Raw Intake'!C21</x:f>
        <x:v>Travel advisor</x:v>
      </x:c>
      <x:c r="D21" s="8" t="str">
        <x:f>'Raw Intake'!D21</x:f>
        <x:v>Utrecht</x:v>
      </x:c>
      <x:c r="E21" s="8" t="str">
        <x:f>'Raw Intake'!E21</x:f>
        <x:v>Netherlands</x:v>
      </x:c>
      <x:c r="F21" s="8" t="n">
        <x:f>'Raw Intake'!F21</x:f>
        <x:v>15</x:v>
      </x:c>
      <x:c r="G21" s="8" t="n">
        <x:f>'Raw Intake'!G21</x:f>
        <x:v>67</x:v>
      </x:c>
      <x:c r="H21" s="8" t="str">
        <x:f>'Raw Intake'!H21</x:f>
        <x:v>EA / Operations</x:v>
      </x:c>
      <x:c r="I21" s="8" t="str">
        <x:f>LOWER(TRIM('Raw Intake'!I21))</x:f>
        <x:v>team15@lumen-demo.example</x:v>
      </x:c>
      <x:c r="J21" s="9" t="n">
        <x:f>COUNTIF($B$7:$B$38,B21)</x:f>
        <x:v>1</x:v>
      </x:c>
      <x:c r="K21" s="9" t="str">
        <x:f>IF(AND(ISNUMBER(SEARCH("@",I21)),ISNUMBER(SEARCH(".example",I21))),"Demo format OK","Review email")</x:f>
        <x:v>Demo format OK</x:v>
      </x:c>
      <x:c r="L21" s="9" t="str">
        <x:f>IF(E21="Netherlands","In scope","Review market")</x:f>
        <x:v>In scope</x:v>
      </x:c>
      <x:c r="M21" s="9" t="n">
        <x:f>MIN(100,ROUND(MIN(F21,20)*2+MIN(G21,80)*0.4+IF(C21="Corporate",28,IF(C21="Event planner",18,10)),0))</x:f>
        <x:v>67</x:v>
      </x:c>
      <x:c r="N21" s="9" t="str">
        <x:f>IF(M21&gt;=70,"A / discovery",IF(M21&gt;=45,"B / research","C / defer"))</x:f>
        <x:v>B / research</x:v>
      </x:c>
      <x:c r="O21" s="9" t="str">
        <x:f>IF(J21&gt;1,"Duplicate review",IF(K21="Review email","Email review",IF(L21="Review market","Market review","Reviewable")))</x:f>
        <x:v>Reviewable</x:v>
      </x:c>
      <x:c r="P21" s="9" t="str">
        <x:f>IF(O21="Duplicate review","Compare source rows",IF(O21&lt;&gt;"Reviewable","Resolve exception",IF(N21="A / discovery","Research buying committee","Map account context")))</x:f>
        <x:v>Map account context</x:v>
      </x:c>
      <x:c r="Q21" s="9" t="str">
        <x:f>IF(O21="Reviewable","Draft - verify externally","Hold - QA")</x:f>
        <x:v>Draft - verify externally</x:v>
      </x:c>
    </x:row>
    <x:row r="22" ht="22" customHeight="1">
      <x:c r="A22" s="8" t="str">
        <x:f>'Raw Intake'!A22</x:f>
        <x:v>LV-016</x:v>
      </x:c>
      <x:c r="B22" s="8" t="str">
        <x:f>TRIM(CLEAN('Raw Intake'!B22))</x:f>
        <x:v>Orchid Point Travel advisor</x:v>
      </x:c>
      <x:c r="C22" s="8" t="str">
        <x:f>'Raw Intake'!C22</x:f>
        <x:v>Travel advisor</x:v>
      </x:c>
      <x:c r="D22" s="8" t="str">
        <x:f>'Raw Intake'!D22</x:f>
        <x:v>The Hague</x:v>
      </x:c>
      <x:c r="E22" s="8" t="str">
        <x:f>'Raw Intake'!E22</x:f>
        <x:v>Netherlands</x:v>
      </x:c>
      <x:c r="F22" s="8" t="n">
        <x:f>'Raw Intake'!F22</x:f>
        <x:v>20</x:v>
      </x:c>
      <x:c r="G22" s="8" t="n">
        <x:f>'Raw Intake'!G22</x:f>
        <x:v>78</x:v>
      </x:c>
      <x:c r="H22" s="8" t="str">
        <x:f>'Raw Intake'!H22</x:f>
        <x:v>Partnerships</x:v>
      </x:c>
      <x:c r="I22" s="8" t="str">
        <x:f>LOWER(TRIM('Raw Intake'!I22))</x:f>
        <x:v>team16@lumen-demo.example</x:v>
      </x:c>
      <x:c r="J22" s="9" t="n">
        <x:f>COUNTIF($B$7:$B$38,B22)</x:f>
        <x:v>1</x:v>
      </x:c>
      <x:c r="K22" s="9" t="str">
        <x:f>IF(AND(ISNUMBER(SEARCH("@",I22)),ISNUMBER(SEARCH(".example",I22))),"Demo format OK","Review email")</x:f>
        <x:v>Demo format OK</x:v>
      </x:c>
      <x:c r="L22" s="9" t="str">
        <x:f>IF(E22="Netherlands","In scope","Review market")</x:f>
        <x:v>In scope</x:v>
      </x:c>
      <x:c r="M22" s="9" t="n">
        <x:f>MIN(100,ROUND(MIN(F22,20)*2+MIN(G22,80)*0.4+IF(C22="Corporate",28,IF(C22="Event planner",18,10)),0))</x:f>
        <x:v>81</x:v>
      </x:c>
      <x:c r="N22" s="9" t="str">
        <x:f>IF(M22&gt;=70,"A / discovery",IF(M22&gt;=45,"B / research","C / defer"))</x:f>
        <x:v>A / discovery</x:v>
      </x:c>
      <x:c r="O22" s="9" t="str">
        <x:f>IF(J22&gt;1,"Duplicate review",IF(K22="Review email","Email review",IF(L22="Review market","Market review","Reviewable")))</x:f>
        <x:v>Reviewable</x:v>
      </x:c>
      <x:c r="P22" s="9" t="str">
        <x:f>IF(O22="Duplicate review","Compare source rows",IF(O22&lt;&gt;"Reviewable","Resolve exception",IF(N22="A / discovery","Research buying committee","Map account context")))</x:f>
        <x:v>Research buying committee</x:v>
      </x:c>
      <x:c r="Q22" s="9" t="str">
        <x:f>IF(O22="Reviewable","Draft - verify externally","Hold - QA")</x:f>
        <x:v>Draft - verify externally</x:v>
      </x:c>
    </x:row>
    <x:row r="23" ht="22" customHeight="1">
      <x:c r="A23" s="8" t="str">
        <x:f>'Raw Intake'!A23</x:f>
        <x:v>LV-017</x:v>
      </x:c>
      <x:c r="B23" s="8" t="str">
        <x:f>TRIM(CLEAN('Raw Intake'!B23))</x:f>
        <x:v>Silk Harbor Event planner</x:v>
      </x:c>
      <x:c r="C23" s="8" t="str">
        <x:f>'Raw Intake'!C23</x:f>
        <x:v>Event planner</x:v>
      </x:c>
      <x:c r="D23" s="8" t="str">
        <x:f>'Raw Intake'!D23</x:f>
        <x:v>Eindhoven</x:v>
      </x:c>
      <x:c r="E23" s="8" t="str">
        <x:f>'Raw Intake'!E23</x:f>
        <x:v>Netherlands</x:v>
      </x:c>
      <x:c r="F23" s="8" t="n">
        <x:f>'Raw Intake'!F23</x:f>
        <x:v>6</x:v>
      </x:c>
      <x:c r="G23" s="8" t="n">
        <x:f>'Raw Intake'!G23</x:f>
        <x:v>89</x:v>
      </x:c>
      <x:c r="H23" s="8" t="str">
        <x:f>'Raw Intake'!H23</x:f>
        <x:v>Travel Manager</x:v>
      </x:c>
      <x:c r="I23" s="8" t="str">
        <x:f>LOWER(TRIM('Raw Intake'!I23))</x:f>
        <x:v>team17@lumen-demo.example</x:v>
      </x:c>
      <x:c r="J23" s="9" t="n">
        <x:f>COUNTIF($B$7:$B$38,B23)</x:f>
        <x:v>1</x:v>
      </x:c>
      <x:c r="K23" s="9" t="str">
        <x:f>IF(AND(ISNUMBER(SEARCH("@",I23)),ISNUMBER(SEARCH(".example",I23))),"Demo format OK","Review email")</x:f>
        <x:v>Demo format OK</x:v>
      </x:c>
      <x:c r="L23" s="9" t="str">
        <x:f>IF(E23="Netherlands","In scope","Review market")</x:f>
        <x:v>In scope</x:v>
      </x:c>
      <x:c r="M23" s="9" t="n">
        <x:f>MIN(100,ROUND(MIN(F23,20)*2+MIN(G23,80)*0.4+IF(C23="Corporate",28,IF(C23="Event planner",18,10)),0))</x:f>
        <x:v>62</x:v>
      </x:c>
      <x:c r="N23" s="9" t="str">
        <x:f>IF(M23&gt;=70,"A / discovery",IF(M23&gt;=45,"B / research","C / defer"))</x:f>
        <x:v>B / research</x:v>
      </x:c>
      <x:c r="O23" s="9" t="str">
        <x:f>IF(J23&gt;1,"Duplicate review",IF(K23="Review email","Email review",IF(L23="Review market","Market review","Reviewable")))</x:f>
        <x:v>Reviewable</x:v>
      </x:c>
      <x:c r="P23" s="9" t="str">
        <x:f>IF(O23="Duplicate review","Compare source rows",IF(O23&lt;&gt;"Reviewable","Resolve exception",IF(N23="A / discovery","Research buying committee","Map account context")))</x:f>
        <x:v>Map account context</x:v>
      </x:c>
      <x:c r="Q23" s="9" t="str">
        <x:f>IF(O23="Reviewable","Draft - verify externally","Hold - QA")</x:f>
        <x:v>Draft - verify externally</x:v>
      </x:c>
    </x:row>
    <x:row r="24" ht="22" customHeight="1">
      <x:c r="A24" s="8" t="str">
        <x:f>'Raw Intake'!A24</x:f>
        <x:v>LV-018</x:v>
      </x:c>
      <x:c r="B24" s="8" t="str">
        <x:f>TRIM(CLEAN('Raw Intake'!B24))</x:f>
        <x:v>Canal North Event planner</x:v>
      </x:c>
      <x:c r="C24" s="8" t="str">
        <x:f>'Raw Intake'!C24</x:f>
        <x:v>Event planner</x:v>
      </x:c>
      <x:c r="D24" s="8" t="str">
        <x:f>'Raw Intake'!D24</x:f>
        <x:v>Haarlem</x:v>
      </x:c>
      <x:c r="E24" s="8" t="str">
        <x:f>'Raw Intake'!E24</x:f>
        <x:v>Netherlands</x:v>
      </x:c>
      <x:c r="F24" s="8" t="n">
        <x:f>'Raw Intake'!F24</x:f>
        <x:v>11</x:v>
      </x:c>
      <x:c r="G24" s="8" t="n">
        <x:f>'Raw Intake'!G24</x:f>
        <x:v>10</x:v>
      </x:c>
      <x:c r="H24" s="8" t="str">
        <x:f>'Raw Intake'!H24</x:f>
        <x:v>Founder</x:v>
      </x:c>
      <x:c r="I24" s="8" t="str">
        <x:f>LOWER(TRIM('Raw Intake'!I24))</x:f>
        <x:v>team18@lumen-demo.example</x:v>
      </x:c>
      <x:c r="J24" s="9" t="n">
        <x:f>COUNTIF($B$7:$B$38,B24)</x:f>
        <x:v>1</x:v>
      </x:c>
      <x:c r="K24" s="9" t="str">
        <x:f>IF(AND(ISNUMBER(SEARCH("@",I24)),ISNUMBER(SEARCH(".example",I24))),"Demo format OK","Review email")</x:f>
        <x:v>Demo format OK</x:v>
      </x:c>
      <x:c r="L24" s="9" t="str">
        <x:f>IF(E24="Netherlands","In scope","Review market")</x:f>
        <x:v>In scope</x:v>
      </x:c>
      <x:c r="M24" s="9" t="n">
        <x:f>MIN(100,ROUND(MIN(F24,20)*2+MIN(G24,80)*0.4+IF(C24="Corporate",28,IF(C24="Event planner",18,10)),0))</x:f>
        <x:v>44</x:v>
      </x:c>
      <x:c r="N24" s="9" t="str">
        <x:f>IF(M24&gt;=70,"A / discovery",IF(M24&gt;=45,"B / research","C / defer"))</x:f>
        <x:v>C / defer</x:v>
      </x:c>
      <x:c r="O24" s="9" t="str">
        <x:f>IF(J24&gt;1,"Duplicate review",IF(K24="Review email","Email review",IF(L24="Review market","Market review","Reviewable")))</x:f>
        <x:v>Reviewable</x:v>
      </x:c>
      <x:c r="P24" s="9" t="str">
        <x:f>IF(O24="Duplicate review","Compare source rows",IF(O24&lt;&gt;"Reviewable","Resolve exception",IF(N24="A / discovery","Research buying committee","Map account context")))</x:f>
        <x:v>Map account context</x:v>
      </x:c>
      <x:c r="Q24" s="9" t="str">
        <x:f>IF(O24="Reviewable","Draft - verify externally","Hold - QA")</x:f>
        <x:v>Draft - verify externally</x:v>
      </x:c>
    </x:row>
    <x:row r="25" ht="22" customHeight="1">
      <x:c r="A25" s="8" t="str">
        <x:f>'Raw Intake'!A25</x:f>
        <x:v>LV-019</x:v>
      </x:c>
      <x:c r="B25" s="8" t="str">
        <x:f>TRIM(CLEAN('Raw Intake'!B25))</x:f>
        <x:v>Atlas House Event planner</x:v>
      </x:c>
      <x:c r="C25" s="8" t="str">
        <x:f>'Raw Intake'!C25</x:f>
        <x:v>Event planner</x:v>
      </x:c>
      <x:c r="D25" s="8" t="str">
        <x:f>'Raw Intake'!D25</x:f>
        <x:v>Amsterdam</x:v>
      </x:c>
      <x:c r="E25" s="8" t="str">
        <x:f>'Raw Intake'!E25</x:f>
        <x:v>Netherlands</x:v>
      </x:c>
      <x:c r="F25" s="8" t="n">
        <x:f>'Raw Intake'!F25</x:f>
        <x:v>16</x:v>
      </x:c>
      <x:c r="G25" s="8" t="n">
        <x:f>'Raw Intake'!G25</x:f>
        <x:v>21</x:v>
      </x:c>
      <x:c r="H25" s="8" t="str">
        <x:f>'Raw Intake'!H25</x:f>
        <x:v>EA / Operations</x:v>
      </x:c>
      <x:c r="I25" s="8" t="str">
        <x:f>LOWER(TRIM('Raw Intake'!I25))</x:f>
        <x:v>team19@lumen-demo.example</x:v>
      </x:c>
      <x:c r="J25" s="9" t="n">
        <x:f>COUNTIF($B$7:$B$38,B25)</x:f>
        <x:v>2</x:v>
      </x:c>
      <x:c r="K25" s="9" t="str">
        <x:f>IF(AND(ISNUMBER(SEARCH("@",I25)),ISNUMBER(SEARCH(".example",I25))),"Demo format OK","Review email")</x:f>
        <x:v>Demo format OK</x:v>
      </x:c>
      <x:c r="L25" s="9" t="str">
        <x:f>IF(E25="Netherlands","In scope","Review market")</x:f>
        <x:v>In scope</x:v>
      </x:c>
      <x:c r="M25" s="9" t="n">
        <x:f>MIN(100,ROUND(MIN(F25,20)*2+MIN(G25,80)*0.4+IF(C25="Corporate",28,IF(C25="Event planner",18,10)),0))</x:f>
        <x:v>58</x:v>
      </x:c>
      <x:c r="N25" s="9" t="str">
        <x:f>IF(M25&gt;=70,"A / discovery",IF(M25&gt;=45,"B / research","C / defer"))</x:f>
        <x:v>B / research</x:v>
      </x:c>
      <x:c r="O25" s="9" t="str">
        <x:f>IF(J25&gt;1,"Duplicate review",IF(K25="Review email","Email review",IF(L25="Review market","Market review","Reviewable")))</x:f>
        <x:v>Duplicate review</x:v>
      </x:c>
      <x:c r="P25" s="9" t="str">
        <x:f>IF(O25="Duplicate review","Compare source rows",IF(O25&lt;&gt;"Reviewable","Resolve exception",IF(N25="A / discovery","Research buying committee","Map account context")))</x:f>
        <x:v>Compare source rows</x:v>
      </x:c>
      <x:c r="Q25" s="9" t="str">
        <x:f>IF(O25="Reviewable","Draft - verify externally","Hold - QA")</x:f>
        <x:v>Hold - QA</x:v>
      </x:c>
    </x:row>
    <x:row r="26" ht="22" customHeight="1">
      <x:c r="A26" s="8" t="str">
        <x:f>'Raw Intake'!A26</x:f>
        <x:v>LV-020</x:v>
      </x:c>
      <x:c r="B26" s="8" t="str">
        <x:f>TRIM(CLEAN('Raw Intake'!B26))</x:f>
        <x:v>Juniper Circle Event planner</x:v>
      </x:c>
      <x:c r="C26" s="8" t="str">
        <x:f>'Raw Intake'!C26</x:f>
        <x:v>Event planner</x:v>
      </x:c>
      <x:c r="D26" s="8" t="str">
        <x:f>'Raw Intake'!D26</x:f>
        <x:v>Rotterdam</x:v>
      </x:c>
      <x:c r="E26" s="8" t="str">
        <x:f>'Raw Intake'!E26</x:f>
        <x:v>Netherlands</x:v>
      </x:c>
      <x:c r="F26" s="8" t="n">
        <x:f>'Raw Intake'!F26</x:f>
        <x:v>2</x:v>
      </x:c>
      <x:c r="G26" s="8" t="n">
        <x:f>'Raw Intake'!G26</x:f>
        <x:v>32</x:v>
      </x:c>
      <x:c r="H26" s="8" t="str">
        <x:f>'Raw Intake'!H26</x:f>
        <x:v>Partnerships</x:v>
      </x:c>
      <x:c r="I26" s="8" t="str">
        <x:f>LOWER(TRIM('Raw Intake'!I26))</x:f>
        <x:v>team20@lumen-demo.example</x:v>
      </x:c>
      <x:c r="J26" s="9" t="n">
        <x:f>COUNTIF($B$7:$B$38,B26)</x:f>
        <x:v>1</x:v>
      </x:c>
      <x:c r="K26" s="9" t="str">
        <x:f>IF(AND(ISNUMBER(SEARCH("@",I26)),ISNUMBER(SEARCH(".example",I26))),"Demo format OK","Review email")</x:f>
        <x:v>Demo format OK</x:v>
      </x:c>
      <x:c r="L26" s="9" t="str">
        <x:f>IF(E26="Netherlands","In scope","Review market")</x:f>
        <x:v>In scope</x:v>
      </x:c>
      <x:c r="M26" s="9" t="n">
        <x:f>MIN(100,ROUND(MIN(F26,20)*2+MIN(G26,80)*0.4+IF(C26="Corporate",28,IF(C26="Event planner",18,10)),0))</x:f>
        <x:v>35</x:v>
      </x:c>
      <x:c r="N26" s="9" t="str">
        <x:f>IF(M26&gt;=70,"A / discovery",IF(M26&gt;=45,"B / research","C / defer"))</x:f>
        <x:v>C / defer</x:v>
      </x:c>
      <x:c r="O26" s="9" t="str">
        <x:f>IF(J26&gt;1,"Duplicate review",IF(K26="Review email","Email review",IF(L26="Review market","Market review","Reviewable")))</x:f>
        <x:v>Reviewable</x:v>
      </x:c>
      <x:c r="P26" s="9" t="str">
        <x:f>IF(O26="Duplicate review","Compare source rows",IF(O26&lt;&gt;"Reviewable","Resolve exception",IF(N26="A / discovery","Research buying committee","Map account context")))</x:f>
        <x:v>Map account context</x:v>
      </x:c>
      <x:c r="Q26" s="9" t="str">
        <x:f>IF(O26="Reviewable","Draft - verify externally","Hold - QA")</x:f>
        <x:v>Draft - verify externally</x:v>
      </x:c>
    </x:row>
    <x:row r="27" ht="22" customHeight="1">
      <x:c r="A27" s="8" t="str">
        <x:f>'Raw Intake'!A27</x:f>
        <x:v>LV-021</x:v>
      </x:c>
      <x:c r="B27" s="8" t="str">
        <x:f>TRIM(CLEAN('Raw Intake'!B27))</x:f>
        <x:v>Velvet Meridian Event planner</x:v>
      </x:c>
      <x:c r="C27" s="8" t="str">
        <x:f>'Raw Intake'!C27</x:f>
        <x:v>Event planner</x:v>
      </x:c>
      <x:c r="D27" s="8" t="str">
        <x:f>'Raw Intake'!D27</x:f>
        <x:v>Utrecht</x:v>
      </x:c>
      <x:c r="E27" s="8" t="str">
        <x:f>'Raw Intake'!E27</x:f>
        <x:v>Netherlands</x:v>
      </x:c>
      <x:c r="F27" s="8" t="n">
        <x:f>'Raw Intake'!F27</x:f>
        <x:v>7</x:v>
      </x:c>
      <x:c r="G27" s="8" t="n">
        <x:f>'Raw Intake'!G27</x:f>
        <x:v>43</x:v>
      </x:c>
      <x:c r="H27" s="8" t="str">
        <x:f>'Raw Intake'!H27</x:f>
        <x:v>Travel Manager</x:v>
      </x:c>
      <x:c r="I27" s="8" t="str">
        <x:f>LOWER(TRIM('Raw Intake'!I27))</x:f>
        <x:v>team21@lumen-demo.example</x:v>
      </x:c>
      <x:c r="J27" s="9" t="n">
        <x:f>COUNTIF($B$7:$B$38,B27)</x:f>
        <x:v>1</x:v>
      </x:c>
      <x:c r="K27" s="9" t="str">
        <x:f>IF(AND(ISNUMBER(SEARCH("@",I27)),ISNUMBER(SEARCH(".example",I27))),"Demo format OK","Review email")</x:f>
        <x:v>Demo format OK</x:v>
      </x:c>
      <x:c r="L27" s="9" t="str">
        <x:f>IF(E27="Netherlands","In scope","Review market")</x:f>
        <x:v>In scope</x:v>
      </x:c>
      <x:c r="M27" s="9" t="n">
        <x:f>MIN(100,ROUND(MIN(F27,20)*2+MIN(G27,80)*0.4+IF(C27="Corporate",28,IF(C27="Event planner",18,10)),0))</x:f>
        <x:v>49</x:v>
      </x:c>
      <x:c r="N27" s="9" t="str">
        <x:f>IF(M27&gt;=70,"A / discovery",IF(M27&gt;=45,"B / research","C / defer"))</x:f>
        <x:v>B / research</x:v>
      </x:c>
      <x:c r="O27" s="9" t="str">
        <x:f>IF(J27&gt;1,"Duplicate review",IF(K27="Review email","Email review",IF(L27="Review market","Market review","Reviewable")))</x:f>
        <x:v>Reviewable</x:v>
      </x:c>
      <x:c r="P27" s="9" t="str">
        <x:f>IF(O27="Duplicate review","Compare source rows",IF(O27&lt;&gt;"Reviewable","Resolve exception",IF(N27="A / discovery","Research buying committee","Map account context")))</x:f>
        <x:v>Map account context</x:v>
      </x:c>
      <x:c r="Q27" s="9" t="str">
        <x:f>IF(O27="Reviewable","Draft - verify externally","Hold - QA")</x:f>
        <x:v>Draft - verify externally</x:v>
      </x:c>
    </x:row>
    <x:row r="28" ht="22" customHeight="1">
      <x:c r="A28" s="8" t="str">
        <x:f>'Raw Intake'!A28</x:f>
        <x:v>LV-022</x:v>
      </x:c>
      <x:c r="B28" s="8" t="str">
        <x:f>TRIM(CLEAN('Raw Intake'!B28))</x:f>
        <x:v>Blue Quay Event planner</x:v>
      </x:c>
      <x:c r="C28" s="8" t="str">
        <x:f>'Raw Intake'!C28</x:f>
        <x:v>Event planner</x:v>
      </x:c>
      <x:c r="D28" s="8" t="str">
        <x:f>'Raw Intake'!D28</x:f>
        <x:v>The Hague</x:v>
      </x:c>
      <x:c r="E28" s="8" t="str">
        <x:f>'Raw Intake'!E28</x:f>
        <x:v>Belgium</x:v>
      </x:c>
      <x:c r="F28" s="8" t="n">
        <x:f>'Raw Intake'!F28</x:f>
        <x:v>12</x:v>
      </x:c>
      <x:c r="G28" s="8" t="n">
        <x:f>'Raw Intake'!G28</x:f>
        <x:v>54</x:v>
      </x:c>
      <x:c r="H28" s="8" t="str">
        <x:f>'Raw Intake'!H28</x:f>
        <x:v>Founder</x:v>
      </x:c>
      <x:c r="I28" s="8" t="str">
        <x:f>LOWER(TRIM('Raw Intake'!I28))</x:f>
        <x:v>team22@lumen-demo.example</x:v>
      </x:c>
      <x:c r="J28" s="9" t="n">
        <x:f>COUNTIF($B$7:$B$38,B28)</x:f>
        <x:v>1</x:v>
      </x:c>
      <x:c r="K28" s="9" t="str">
        <x:f>IF(AND(ISNUMBER(SEARCH("@",I28)),ISNUMBER(SEARCH(".example",I28))),"Demo format OK","Review email")</x:f>
        <x:v>Demo format OK</x:v>
      </x:c>
      <x:c r="L28" s="9" t="str">
        <x:f>IF(E28="Netherlands","In scope","Review market")</x:f>
        <x:v>Review market</x:v>
      </x:c>
      <x:c r="M28" s="9" t="n">
        <x:f>MIN(100,ROUND(MIN(F28,20)*2+MIN(G28,80)*0.4+IF(C28="Corporate",28,IF(C28="Event planner",18,10)),0))</x:f>
        <x:v>64</x:v>
      </x:c>
      <x:c r="N28" s="9" t="str">
        <x:f>IF(M28&gt;=70,"A / discovery",IF(M28&gt;=45,"B / research","C / defer"))</x:f>
        <x:v>B / research</x:v>
      </x:c>
      <x:c r="O28" s="9" t="str">
        <x:f>IF(J28&gt;1,"Duplicate review",IF(K28="Review email","Email review",IF(L28="Review market","Market review","Reviewable")))</x:f>
        <x:v>Market review</x:v>
      </x:c>
      <x:c r="P28" s="9" t="str">
        <x:f>IF(O28="Duplicate review","Compare source rows",IF(O28&lt;&gt;"Reviewable","Resolve exception",IF(N28="A / discovery","Research buying committee","Map account context")))</x:f>
        <x:v>Resolve exception</x:v>
      </x:c>
      <x:c r="Q28" s="9" t="str">
        <x:f>IF(O28="Reviewable","Draft - verify externally","Hold - QA")</x:f>
        <x:v>Hold - QA</x:v>
      </x:c>
    </x:row>
    <x:row r="29" ht="22" customHeight="1">
      <x:c r="A29" s="8" t="str">
        <x:f>'Raw Intake'!A29</x:f>
        <x:v>LV-023</x:v>
      </x:c>
      <x:c r="B29" s="8" t="str">
        <x:f>TRIM(CLEAN('Raw Intake'!B29))</x:f>
        <x:v>Avenue Group Event planner</x:v>
      </x:c>
      <x:c r="C29" s="8" t="str">
        <x:f>'Raw Intake'!C29</x:f>
        <x:v>Event planner</x:v>
      </x:c>
      <x:c r="D29" s="8" t="str">
        <x:f>'Raw Intake'!D29</x:f>
        <x:v>Eindhoven</x:v>
      </x:c>
      <x:c r="E29" s="8" t="str">
        <x:f>'Raw Intake'!E29</x:f>
        <x:v>Netherlands</x:v>
      </x:c>
      <x:c r="F29" s="8" t="n">
        <x:f>'Raw Intake'!F29</x:f>
        <x:v>17</x:v>
      </x:c>
      <x:c r="G29" s="8" t="n">
        <x:f>'Raw Intake'!G29</x:f>
        <x:v>65</x:v>
      </x:c>
      <x:c r="H29" s="8" t="str">
        <x:f>'Raw Intake'!H29</x:f>
        <x:v>EA / Operations</x:v>
      </x:c>
      <x:c r="I29" s="8" t="str">
        <x:f>LOWER(TRIM('Raw Intake'!I29))</x:f>
        <x:v>team23@lumen-demo.example</x:v>
      </x:c>
      <x:c r="J29" s="9" t="n">
        <x:f>COUNTIF($B$7:$B$38,B29)</x:f>
        <x:v>1</x:v>
      </x:c>
      <x:c r="K29" s="9" t="str">
        <x:f>IF(AND(ISNUMBER(SEARCH("@",I29)),ISNUMBER(SEARCH(".example",I29))),"Demo format OK","Review email")</x:f>
        <x:v>Demo format OK</x:v>
      </x:c>
      <x:c r="L29" s="9" t="str">
        <x:f>IF(E29="Netherlands","In scope","Review market")</x:f>
        <x:v>In scope</x:v>
      </x:c>
      <x:c r="M29" s="9" t="n">
        <x:f>MIN(100,ROUND(MIN(F29,20)*2+MIN(G29,80)*0.4+IF(C29="Corporate",28,IF(C29="Event planner",18,10)),0))</x:f>
        <x:v>78</x:v>
      </x:c>
      <x:c r="N29" s="9" t="str">
        <x:f>IF(M29&gt;=70,"A / discovery",IF(M29&gt;=45,"B / research","C / defer"))</x:f>
        <x:v>A / discovery</x:v>
      </x:c>
      <x:c r="O29" s="9" t="str">
        <x:f>IF(J29&gt;1,"Duplicate review",IF(K29="Review email","Email review",IF(L29="Review market","Market review","Reviewable")))</x:f>
        <x:v>Reviewable</x:v>
      </x:c>
      <x:c r="P29" s="9" t="str">
        <x:f>IF(O29="Duplicate review","Compare source rows",IF(O29&lt;&gt;"Reviewable","Resolve exception",IF(N29="A / discovery","Research buying committee","Map account context")))</x:f>
        <x:v>Research buying committee</x:v>
      </x:c>
      <x:c r="Q29" s="9" t="str">
        <x:f>IF(O29="Reviewable","Draft - verify externally","Hold - QA")</x:f>
        <x:v>Draft - verify externally</x:v>
      </x:c>
    </x:row>
    <x:row r="30" ht="22" customHeight="1">
      <x:c r="A30" s="8" t="str">
        <x:f>'Raw Intake'!A30</x:f>
        <x:v>LV-024</x:v>
      </x:c>
      <x:c r="B30" s="8" t="str">
        <x:f>TRIM(CLEAN('Raw Intake'!B30))</x:f>
        <x:v>Orchid Point Event planner</x:v>
      </x:c>
      <x:c r="C30" s="8" t="str">
        <x:f>'Raw Intake'!C30</x:f>
        <x:v>Event planner</x:v>
      </x:c>
      <x:c r="D30" s="8" t="str">
        <x:f>'Raw Intake'!D30</x:f>
        <x:v>Haarlem</x:v>
      </x:c>
      <x:c r="E30" s="8" t="str">
        <x:f>'Raw Intake'!E30</x:f>
        <x:v>Netherlands</x:v>
      </x:c>
      <x:c r="F30" s="8" t="n">
        <x:f>'Raw Intake'!F30</x:f>
        <x:v>3</x:v>
      </x:c>
      <x:c r="G30" s="8" t="n">
        <x:f>'Raw Intake'!G30</x:f>
        <x:v>76</x:v>
      </x:c>
      <x:c r="H30" s="8" t="str">
        <x:f>'Raw Intake'!H30</x:f>
        <x:v>Partnerships</x:v>
      </x:c>
      <x:c r="I30" s="8" t="str">
        <x:f>LOWER(TRIM('Raw Intake'!I30))</x:f>
        <x:v>team24@lumen-demo.example</x:v>
      </x:c>
      <x:c r="J30" s="9" t="n">
        <x:f>COUNTIF($B$7:$B$38,B30)</x:f>
        <x:v>1</x:v>
      </x:c>
      <x:c r="K30" s="9" t="str">
        <x:f>IF(AND(ISNUMBER(SEARCH("@",I30)),ISNUMBER(SEARCH(".example",I30))),"Demo format OK","Review email")</x:f>
        <x:v>Demo format OK</x:v>
      </x:c>
      <x:c r="L30" s="9" t="str">
        <x:f>IF(E30="Netherlands","In scope","Review market")</x:f>
        <x:v>In scope</x:v>
      </x:c>
      <x:c r="M30" s="9" t="n">
        <x:f>MIN(100,ROUND(MIN(F30,20)*2+MIN(G30,80)*0.4+IF(C30="Corporate",28,IF(C30="Event planner",18,10)),0))</x:f>
        <x:v>54</x:v>
      </x:c>
      <x:c r="N30" s="9" t="str">
        <x:f>IF(M30&gt;=70,"A / discovery",IF(M30&gt;=45,"B / research","C / defer"))</x:f>
        <x:v>B / research</x:v>
      </x:c>
      <x:c r="O30" s="9" t="str">
        <x:f>IF(J30&gt;1,"Duplicate review",IF(K30="Review email","Email review",IF(L30="Review market","Market review","Reviewable")))</x:f>
        <x:v>Reviewable</x:v>
      </x:c>
      <x:c r="P30" s="9" t="str">
        <x:f>IF(O30="Duplicate review","Compare source rows",IF(O30&lt;&gt;"Reviewable","Resolve exception",IF(N30="A / discovery","Research buying committee","Map account context")))</x:f>
        <x:v>Map account context</x:v>
      </x:c>
      <x:c r="Q30" s="9" t="str">
        <x:f>IF(O30="Reviewable","Draft - verify externally","Hold - QA")</x:f>
        <x:v>Draft - verify externally</x:v>
      </x:c>
    </x:row>
    <x:row r="31" ht="22" customHeight="1">
      <x:c r="A31" s="8" t="str">
        <x:f>'Raw Intake'!A31</x:f>
        <x:v>LV-025</x:v>
      </x:c>
      <x:c r="B31" s="8" t="str">
        <x:f>TRIM(CLEAN('Raw Intake'!B31))</x:f>
        <x:v>Silk Harbor Luxury concierge</x:v>
      </x:c>
      <x:c r="C31" s="8" t="str">
        <x:f>'Raw Intake'!C31</x:f>
        <x:v>Luxury concierge</x:v>
      </x:c>
      <x:c r="D31" s="8" t="str">
        <x:f>'Raw Intake'!D31</x:f>
        <x:v>Amsterdam</x:v>
      </x:c>
      <x:c r="E31" s="8" t="str">
        <x:f>'Raw Intake'!E31</x:f>
        <x:v>Netherlands</x:v>
      </x:c>
      <x:c r="F31" s="8" t="n">
        <x:f>'Raw Intake'!F31</x:f>
        <x:v>8</x:v>
      </x:c>
      <x:c r="G31" s="8" t="n">
        <x:f>'Raw Intake'!G31</x:f>
        <x:v>87</x:v>
      </x:c>
      <x:c r="H31" s="8" t="str">
        <x:f>'Raw Intake'!H31</x:f>
        <x:v>Travel Manager</x:v>
      </x:c>
      <x:c r="I31" s="8" t="str">
        <x:f>LOWER(TRIM('Raw Intake'!I31))</x:f>
        <x:v>team25@lumen-demo.example</x:v>
      </x:c>
      <x:c r="J31" s="9" t="n">
        <x:f>COUNTIF($B$7:$B$38,B31)</x:f>
        <x:v>1</x:v>
      </x:c>
      <x:c r="K31" s="9" t="str">
        <x:f>IF(AND(ISNUMBER(SEARCH("@",I31)),ISNUMBER(SEARCH(".example",I31))),"Demo format OK","Review email")</x:f>
        <x:v>Demo format OK</x:v>
      </x:c>
      <x:c r="L31" s="9" t="str">
        <x:f>IF(E31="Netherlands","In scope","Review market")</x:f>
        <x:v>In scope</x:v>
      </x:c>
      <x:c r="M31" s="9" t="n">
        <x:f>MIN(100,ROUND(MIN(F31,20)*2+MIN(G31,80)*0.4+IF(C31="Corporate",28,IF(C31="Event planner",18,10)),0))</x:f>
        <x:v>58</x:v>
      </x:c>
      <x:c r="N31" s="9" t="str">
        <x:f>IF(M31&gt;=70,"A / discovery",IF(M31&gt;=45,"B / research","C / defer"))</x:f>
        <x:v>B / research</x:v>
      </x:c>
      <x:c r="O31" s="9" t="str">
        <x:f>IF(J31&gt;1,"Duplicate review",IF(K31="Review email","Email review",IF(L31="Review market","Market review","Reviewable")))</x:f>
        <x:v>Reviewable</x:v>
      </x:c>
      <x:c r="P31" s="9" t="str">
        <x:f>IF(O31="Duplicate review","Compare source rows",IF(O31&lt;&gt;"Reviewable","Resolve exception",IF(N31="A / discovery","Research buying committee","Map account context")))</x:f>
        <x:v>Map account context</x:v>
      </x:c>
      <x:c r="Q31" s="9" t="str">
        <x:f>IF(O31="Reviewable","Draft - verify externally","Hold - QA")</x:f>
        <x:v>Draft - verify externally</x:v>
      </x:c>
    </x:row>
    <x:row r="32" ht="22" customHeight="1">
      <x:c r="A32" s="8" t="str">
        <x:f>'Raw Intake'!A32</x:f>
        <x:v>LV-026</x:v>
      </x:c>
      <x:c r="B32" s="8" t="str">
        <x:f>TRIM(CLEAN('Raw Intake'!B32))</x:f>
        <x:v>Canal North Luxury concierge</x:v>
      </x:c>
      <x:c r="C32" s="8" t="str">
        <x:f>'Raw Intake'!C32</x:f>
        <x:v>Luxury concierge</x:v>
      </x:c>
      <x:c r="D32" s="8" t="str">
        <x:f>'Raw Intake'!D32</x:f>
        <x:v>Rotterdam</x:v>
      </x:c>
      <x:c r="E32" s="8" t="str">
        <x:f>'Raw Intake'!E32</x:f>
        <x:v>Netherlands</x:v>
      </x:c>
      <x:c r="F32" s="8" t="n">
        <x:f>'Raw Intake'!F32</x:f>
        <x:v>13</x:v>
      </x:c>
      <x:c r="G32" s="8" t="n">
        <x:f>'Raw Intake'!G32</x:f>
        <x:v>8</x:v>
      </x:c>
      <x:c r="H32" s="8" t="str">
        <x:f>'Raw Intake'!H32</x:f>
        <x:v>Founder</x:v>
      </x:c>
      <x:c r="I32" s="8" t="str">
        <x:f>LOWER(TRIM('Raw Intake'!I32))</x:f>
        <x:v>team26@lumen-demo.example</x:v>
      </x:c>
      <x:c r="J32" s="9" t="n">
        <x:f>COUNTIF($B$7:$B$38,B32)</x:f>
        <x:v>1</x:v>
      </x:c>
      <x:c r="K32" s="9" t="str">
        <x:f>IF(AND(ISNUMBER(SEARCH("@",I32)),ISNUMBER(SEARCH(".example",I32))),"Demo format OK","Review email")</x:f>
        <x:v>Demo format OK</x:v>
      </x:c>
      <x:c r="L32" s="9" t="str">
        <x:f>IF(E32="Netherlands","In scope","Review market")</x:f>
        <x:v>In scope</x:v>
      </x:c>
      <x:c r="M32" s="9" t="n">
        <x:f>MIN(100,ROUND(MIN(F32,20)*2+MIN(G32,80)*0.4+IF(C32="Corporate",28,IF(C32="Event planner",18,10)),0))</x:f>
        <x:v>39</x:v>
      </x:c>
      <x:c r="N32" s="9" t="str">
        <x:f>IF(M32&gt;=70,"A / discovery",IF(M32&gt;=45,"B / research","C / defer"))</x:f>
        <x:v>C / defer</x:v>
      </x:c>
      <x:c r="O32" s="9" t="str">
        <x:f>IF(J32&gt;1,"Duplicate review",IF(K32="Review email","Email review",IF(L32="Review market","Market review","Reviewable")))</x:f>
        <x:v>Reviewable</x:v>
      </x:c>
      <x:c r="P32" s="9" t="str">
        <x:f>IF(O32="Duplicate review","Compare source rows",IF(O32&lt;&gt;"Reviewable","Resolve exception",IF(N32="A / discovery","Research buying committee","Map account context")))</x:f>
        <x:v>Map account context</x:v>
      </x:c>
      <x:c r="Q32" s="9" t="str">
        <x:f>IF(O32="Reviewable","Draft - verify externally","Hold - QA")</x:f>
        <x:v>Draft - verify externally</x:v>
      </x:c>
    </x:row>
    <x:row r="33" ht="22" customHeight="1">
      <x:c r="A33" s="8" t="str">
        <x:f>'Raw Intake'!A33</x:f>
        <x:v>LV-027</x:v>
      </x:c>
      <x:c r="B33" s="8" t="str">
        <x:f>TRIM(CLEAN('Raw Intake'!B33))</x:f>
        <x:v>atlas house event planner</x:v>
      </x:c>
      <x:c r="C33" s="8" t="str">
        <x:f>'Raw Intake'!C33</x:f>
        <x:v>Luxury concierge</x:v>
      </x:c>
      <x:c r="D33" s="8" t="str">
        <x:f>'Raw Intake'!D33</x:f>
        <x:v>Utrecht</x:v>
      </x:c>
      <x:c r="E33" s="8" t="str">
        <x:f>'Raw Intake'!E33</x:f>
        <x:v>Netherlands</x:v>
      </x:c>
      <x:c r="F33" s="8" t="n">
        <x:f>'Raw Intake'!F33</x:f>
        <x:v>18</x:v>
      </x:c>
      <x:c r="G33" s="8" t="n">
        <x:f>'Raw Intake'!G33</x:f>
        <x:v>19</x:v>
      </x:c>
      <x:c r="H33" s="8" t="str">
        <x:f>'Raw Intake'!H33</x:f>
        <x:v>EA / Operations</x:v>
      </x:c>
      <x:c r="I33" s="8" t="str">
        <x:f>LOWER(TRIM('Raw Intake'!I33))</x:f>
        <x:v>team27@lumen-demo.example</x:v>
      </x:c>
      <x:c r="J33" s="9" t="n">
        <x:f>COUNTIF($B$7:$B$38,B33)</x:f>
        <x:v>2</x:v>
      </x:c>
      <x:c r="K33" s="9" t="str">
        <x:f>IF(AND(ISNUMBER(SEARCH("@",I33)),ISNUMBER(SEARCH(".example",I33))),"Demo format OK","Review email")</x:f>
        <x:v>Demo format OK</x:v>
      </x:c>
      <x:c r="L33" s="9" t="str">
        <x:f>IF(E33="Netherlands","In scope","Review market")</x:f>
        <x:v>In scope</x:v>
      </x:c>
      <x:c r="M33" s="9" t="n">
        <x:f>MIN(100,ROUND(MIN(F33,20)*2+MIN(G33,80)*0.4+IF(C33="Corporate",28,IF(C33="Event planner",18,10)),0))</x:f>
        <x:v>54</x:v>
      </x:c>
      <x:c r="N33" s="9" t="str">
        <x:f>IF(M33&gt;=70,"A / discovery",IF(M33&gt;=45,"B / research","C / defer"))</x:f>
        <x:v>B / research</x:v>
      </x:c>
      <x:c r="O33" s="9" t="str">
        <x:f>IF(J33&gt;1,"Duplicate review",IF(K33="Review email","Email review",IF(L33="Review market","Market review","Reviewable")))</x:f>
        <x:v>Duplicate review</x:v>
      </x:c>
      <x:c r="P33" s="9" t="str">
        <x:f>IF(O33="Duplicate review","Compare source rows",IF(O33&lt;&gt;"Reviewable","Resolve exception",IF(N33="A / discovery","Research buying committee","Map account context")))</x:f>
        <x:v>Compare source rows</x:v>
      </x:c>
      <x:c r="Q33" s="9" t="str">
        <x:f>IF(O33="Reviewable","Draft - verify externally","Hold - QA")</x:f>
        <x:v>Hold - QA</x:v>
      </x:c>
    </x:row>
    <x:row r="34" ht="22" customHeight="1">
      <x:c r="A34" s="8" t="str">
        <x:f>'Raw Intake'!A34</x:f>
        <x:v>LV-028</x:v>
      </x:c>
      <x:c r="B34" s="8" t="str">
        <x:f>TRIM(CLEAN('Raw Intake'!B34))</x:f>
        <x:v>Juniper Circle Luxury concierge</x:v>
      </x:c>
      <x:c r="C34" s="8" t="str">
        <x:f>'Raw Intake'!C34</x:f>
        <x:v>Luxury concierge</x:v>
      </x:c>
      <x:c r="D34" s="8" t="str">
        <x:f>'Raw Intake'!D34</x:f>
        <x:v>The Hague</x:v>
      </x:c>
      <x:c r="E34" s="8" t="str">
        <x:f>'Raw Intake'!E34</x:f>
        <x:v>Netherlands</x:v>
      </x:c>
      <x:c r="F34" s="8" t="n">
        <x:f>'Raw Intake'!F34</x:f>
        <x:v>4</x:v>
      </x:c>
      <x:c r="G34" s="8" t="n">
        <x:f>'Raw Intake'!G34</x:f>
        <x:v>30</x:v>
      </x:c>
      <x:c r="H34" s="8" t="str">
        <x:f>'Raw Intake'!H34</x:f>
        <x:v>Partnerships</x:v>
      </x:c>
      <x:c r="I34" s="8" t="str">
        <x:f>LOWER(TRIM('Raw Intake'!I34))</x:f>
        <x:v>team28@lumen-demo.example</x:v>
      </x:c>
      <x:c r="J34" s="9" t="n">
        <x:f>COUNTIF($B$7:$B$38,B34)</x:f>
        <x:v>1</x:v>
      </x:c>
      <x:c r="K34" s="9" t="str">
        <x:f>IF(AND(ISNUMBER(SEARCH("@",I34)),ISNUMBER(SEARCH(".example",I34))),"Demo format OK","Review email")</x:f>
        <x:v>Demo format OK</x:v>
      </x:c>
      <x:c r="L34" s="9" t="str">
        <x:f>IF(E34="Netherlands","In scope","Review market")</x:f>
        <x:v>In scope</x:v>
      </x:c>
      <x:c r="M34" s="9" t="n">
        <x:f>MIN(100,ROUND(MIN(F34,20)*2+MIN(G34,80)*0.4+IF(C34="Corporate",28,IF(C34="Event planner",18,10)),0))</x:f>
        <x:v>30</x:v>
      </x:c>
      <x:c r="N34" s="9" t="str">
        <x:f>IF(M34&gt;=70,"A / discovery",IF(M34&gt;=45,"B / research","C / defer"))</x:f>
        <x:v>C / defer</x:v>
      </x:c>
      <x:c r="O34" s="9" t="str">
        <x:f>IF(J34&gt;1,"Duplicate review",IF(K34="Review email","Email review",IF(L34="Review market","Market review","Reviewable")))</x:f>
        <x:v>Reviewable</x:v>
      </x:c>
      <x:c r="P34" s="9" t="str">
        <x:f>IF(O34="Duplicate review","Compare source rows",IF(O34&lt;&gt;"Reviewable","Resolve exception",IF(N34="A / discovery","Research buying committee","Map account context")))</x:f>
        <x:v>Map account context</x:v>
      </x:c>
      <x:c r="Q34" s="9" t="str">
        <x:f>IF(O34="Reviewable","Draft - verify externally","Hold - QA")</x:f>
        <x:v>Draft - verify externally</x:v>
      </x:c>
    </x:row>
    <x:row r="35" ht="22" customHeight="1">
      <x:c r="A35" s="8" t="str">
        <x:f>'Raw Intake'!A35</x:f>
        <x:v>LV-029</x:v>
      </x:c>
      <x:c r="B35" s="8" t="str">
        <x:f>TRIM(CLEAN('Raw Intake'!B35))</x:f>
        <x:v>Velvet Meridian Luxury concierge</x:v>
      </x:c>
      <x:c r="C35" s="8" t="str">
        <x:f>'Raw Intake'!C35</x:f>
        <x:v>Luxury concierge</x:v>
      </x:c>
      <x:c r="D35" s="8" t="str">
        <x:f>'Raw Intake'!D35</x:f>
        <x:v>Eindhoven</x:v>
      </x:c>
      <x:c r="E35" s="8" t="str">
        <x:f>'Raw Intake'!E35</x:f>
        <x:v>Netherlands</x:v>
      </x:c>
      <x:c r="F35" s="8" t="n">
        <x:f>'Raw Intake'!F35</x:f>
        <x:v>9</x:v>
      </x:c>
      <x:c r="G35" s="8" t="n">
        <x:f>'Raw Intake'!G35</x:f>
        <x:v>41</x:v>
      </x:c>
      <x:c r="H35" s="8" t="str">
        <x:f>'Raw Intake'!H35</x:f>
        <x:v>Travel Manager</x:v>
      </x:c>
      <x:c r="I35" s="8" t="str">
        <x:f>LOWER(TRIM('Raw Intake'!I35))</x:f>
        <x:v>team29@lumen-demo.example</x:v>
      </x:c>
      <x:c r="J35" s="9" t="n">
        <x:f>COUNTIF($B$7:$B$38,B35)</x:f>
        <x:v>1</x:v>
      </x:c>
      <x:c r="K35" s="9" t="str">
        <x:f>IF(AND(ISNUMBER(SEARCH("@",I35)),ISNUMBER(SEARCH(".example",I35))),"Demo format OK","Review email")</x:f>
        <x:v>Demo format OK</x:v>
      </x:c>
      <x:c r="L35" s="9" t="str">
        <x:f>IF(E35="Netherlands","In scope","Review market")</x:f>
        <x:v>In scope</x:v>
      </x:c>
      <x:c r="M35" s="9" t="n">
        <x:f>MIN(100,ROUND(MIN(F35,20)*2+MIN(G35,80)*0.4+IF(C35="Corporate",28,IF(C35="Event planner",18,10)),0))</x:f>
        <x:v>44</x:v>
      </x:c>
      <x:c r="N35" s="9" t="str">
        <x:f>IF(M35&gt;=70,"A / discovery",IF(M35&gt;=45,"B / research","C / defer"))</x:f>
        <x:v>C / defer</x:v>
      </x:c>
      <x:c r="O35" s="9" t="str">
        <x:f>IF(J35&gt;1,"Duplicate review",IF(K35="Review email","Email review",IF(L35="Review market","Market review","Reviewable")))</x:f>
        <x:v>Reviewable</x:v>
      </x:c>
      <x:c r="P35" s="9" t="str">
        <x:f>IF(O35="Duplicate review","Compare source rows",IF(O35&lt;&gt;"Reviewable","Resolve exception",IF(N35="A / discovery","Research buying committee","Map account context")))</x:f>
        <x:v>Map account context</x:v>
      </x:c>
      <x:c r="Q35" s="9" t="str">
        <x:f>IF(O35="Reviewable","Draft - verify externally","Hold - QA")</x:f>
        <x:v>Draft - verify externally</x:v>
      </x:c>
    </x:row>
    <x:row r="36" ht="22" customHeight="1">
      <x:c r="A36" s="8" t="str">
        <x:f>'Raw Intake'!A36</x:f>
        <x:v>LV-030</x:v>
      </x:c>
      <x:c r="B36" s="8" t="str">
        <x:f>TRIM(CLEAN('Raw Intake'!B36))</x:f>
        <x:v>Blue Quay Luxury concierge</x:v>
      </x:c>
      <x:c r="C36" s="8" t="str">
        <x:f>'Raw Intake'!C36</x:f>
        <x:v>Luxury concierge</x:v>
      </x:c>
      <x:c r="D36" s="8" t="str">
        <x:f>'Raw Intake'!D36</x:f>
        <x:v>Haarlem</x:v>
      </x:c>
      <x:c r="E36" s="8" t="str">
        <x:f>'Raw Intake'!E36</x:f>
        <x:v>Netherlands</x:v>
      </x:c>
      <x:c r="F36" s="8" t="n">
        <x:f>'Raw Intake'!F36</x:f>
        <x:v>14</x:v>
      </x:c>
      <x:c r="G36" s="8" t="n">
        <x:f>'Raw Intake'!G36</x:f>
        <x:v>52</x:v>
      </x:c>
      <x:c r="H36" s="8" t="str">
        <x:f>'Raw Intake'!H36</x:f>
        <x:v>Founder</x:v>
      </x:c>
      <x:c r="I36" s="8" t="str">
        <x:f>LOWER(TRIM('Raw Intake'!I36))</x:f>
        <x:v>team30@lumen-demo.example</x:v>
      </x:c>
      <x:c r="J36" s="9" t="n">
        <x:f>COUNTIF($B$7:$B$38,B36)</x:f>
        <x:v>1</x:v>
      </x:c>
      <x:c r="K36" s="9" t="str">
        <x:f>IF(AND(ISNUMBER(SEARCH("@",I36)),ISNUMBER(SEARCH(".example",I36))),"Demo format OK","Review email")</x:f>
        <x:v>Demo format OK</x:v>
      </x:c>
      <x:c r="L36" s="9" t="str">
        <x:f>IF(E36="Netherlands","In scope","Review market")</x:f>
        <x:v>In scope</x:v>
      </x:c>
      <x:c r="M36" s="9" t="n">
        <x:f>MIN(100,ROUND(MIN(F36,20)*2+MIN(G36,80)*0.4+IF(C36="Corporate",28,IF(C36="Event planner",18,10)),0))</x:f>
        <x:v>59</x:v>
      </x:c>
      <x:c r="N36" s="9" t="str">
        <x:f>IF(M36&gt;=70,"A / discovery",IF(M36&gt;=45,"B / research","C / defer"))</x:f>
        <x:v>B / research</x:v>
      </x:c>
      <x:c r="O36" s="9" t="str">
        <x:f>IF(J36&gt;1,"Duplicate review",IF(K36="Review email","Email review",IF(L36="Review market","Market review","Reviewable")))</x:f>
        <x:v>Reviewable</x:v>
      </x:c>
      <x:c r="P36" s="9" t="str">
        <x:f>IF(O36="Duplicate review","Compare source rows",IF(O36&lt;&gt;"Reviewable","Resolve exception",IF(N36="A / discovery","Research buying committee","Map account context")))</x:f>
        <x:v>Map account context</x:v>
      </x:c>
      <x:c r="Q36" s="9" t="str">
        <x:f>IF(O36="Reviewable","Draft - verify externally","Hold - QA")</x:f>
        <x:v>Draft - verify externally</x:v>
      </x:c>
    </x:row>
    <x:row r="37" ht="22" customHeight="1">
      <x:c r="A37" s="8" t="str">
        <x:f>'Raw Intake'!A37</x:f>
        <x:v>LV-031</x:v>
      </x:c>
      <x:c r="B37" s="8" t="str">
        <x:f>TRIM(CLEAN('Raw Intake'!B37))</x:f>
        <x:v>Avenue Group Luxury concierge</x:v>
      </x:c>
      <x:c r="C37" s="8" t="str">
        <x:f>'Raw Intake'!C37</x:f>
        <x:v>Luxury concierge</x:v>
      </x:c>
      <x:c r="D37" s="8" t="str">
        <x:f>'Raw Intake'!D37</x:f>
        <x:v>Amsterdam</x:v>
      </x:c>
      <x:c r="E37" s="8" t="str">
        <x:f>'Raw Intake'!E37</x:f>
        <x:v>Netherlands</x:v>
      </x:c>
      <x:c r="F37" s="8" t="n">
        <x:f>'Raw Intake'!F37</x:f>
        <x:v>19</x:v>
      </x:c>
      <x:c r="G37" s="8" t="n">
        <x:f>'Raw Intake'!G37</x:f>
        <x:v>63</x:v>
      </x:c>
      <x:c r="H37" s="8" t="str">
        <x:f>'Raw Intake'!H37</x:f>
        <x:v>EA / Operations</x:v>
      </x:c>
      <x:c r="I37" s="8" t="str">
        <x:f>LOWER(TRIM('Raw Intake'!I37))</x:f>
        <x:v>team31@lumen-demo.example</x:v>
      </x:c>
      <x:c r="J37" s="9" t="n">
        <x:f>COUNTIF($B$7:$B$38,B37)</x:f>
        <x:v>1</x:v>
      </x:c>
      <x:c r="K37" s="9" t="str">
        <x:f>IF(AND(ISNUMBER(SEARCH("@",I37)),ISNUMBER(SEARCH(".example",I37))),"Demo format OK","Review email")</x:f>
        <x:v>Demo format OK</x:v>
      </x:c>
      <x:c r="L37" s="9" t="str">
        <x:f>IF(E37="Netherlands","In scope","Review market")</x:f>
        <x:v>In scope</x:v>
      </x:c>
      <x:c r="M37" s="9" t="n">
        <x:f>MIN(100,ROUND(MIN(F37,20)*2+MIN(G37,80)*0.4+IF(C37="Corporate",28,IF(C37="Event planner",18,10)),0))</x:f>
        <x:v>73</x:v>
      </x:c>
      <x:c r="N37" s="9" t="str">
        <x:f>IF(M37&gt;=70,"A / discovery",IF(M37&gt;=45,"B / research","C / defer"))</x:f>
        <x:v>A / discovery</x:v>
      </x:c>
      <x:c r="O37" s="9" t="str">
        <x:f>IF(J37&gt;1,"Duplicate review",IF(K37="Review email","Email review",IF(L37="Review market","Market review","Reviewable")))</x:f>
        <x:v>Reviewable</x:v>
      </x:c>
      <x:c r="P37" s="9" t="str">
        <x:f>IF(O37="Duplicate review","Compare source rows",IF(O37&lt;&gt;"Reviewable","Resolve exception",IF(N37="A / discovery","Research buying committee","Map account context")))</x:f>
        <x:v>Research buying committee</x:v>
      </x:c>
      <x:c r="Q37" s="9" t="str">
        <x:f>IF(O37="Reviewable","Draft - verify externally","Hold - QA")</x:f>
        <x:v>Draft - verify externally</x:v>
      </x:c>
    </x:row>
    <x:row r="38" ht="22" customHeight="1">
      <x:c r="A38" s="8" t="str">
        <x:f>'Raw Intake'!A38</x:f>
        <x:v>LV-032</x:v>
      </x:c>
      <x:c r="B38" s="8" t="str">
        <x:f>TRIM(CLEAN('Raw Intake'!B38))</x:f>
        <x:v>Orchid Point Luxury concierge</x:v>
      </x:c>
      <x:c r="C38" s="8" t="str">
        <x:f>'Raw Intake'!C38</x:f>
        <x:v>Luxury concierge</x:v>
      </x:c>
      <x:c r="D38" s="8" t="str">
        <x:f>'Raw Intake'!D38</x:f>
        <x:v>Rotterdam</x:v>
      </x:c>
      <x:c r="E38" s="8" t="str">
        <x:f>'Raw Intake'!E38</x:f>
        <x:v>Netherlands</x:v>
      </x:c>
      <x:c r="F38" s="8" t="n">
        <x:f>'Raw Intake'!F38</x:f>
        <x:v>5</x:v>
      </x:c>
      <x:c r="G38" s="8" t="n">
        <x:f>'Raw Intake'!G38</x:f>
        <x:v>74</x:v>
      </x:c>
      <x:c r="H38" s="8" t="str">
        <x:f>'Raw Intake'!H38</x:f>
        <x:v>Partnerships</x:v>
      </x:c>
      <x:c r="I38" s="8" t="str">
        <x:f>LOWER(TRIM('Raw Intake'!I38))</x:f>
        <x:v>team32@lumen-demo.example</x:v>
      </x:c>
      <x:c r="J38" s="9" t="n">
        <x:f>COUNTIF($B$7:$B$38,B38)</x:f>
        <x:v>1</x:v>
      </x:c>
      <x:c r="K38" s="9" t="str">
        <x:f>IF(AND(ISNUMBER(SEARCH("@",I38)),ISNUMBER(SEARCH(".example",I38))),"Demo format OK","Review email")</x:f>
        <x:v>Demo format OK</x:v>
      </x:c>
      <x:c r="L38" s="9" t="str">
        <x:f>IF(E38="Netherlands","In scope","Review market")</x:f>
        <x:v>In scope</x:v>
      </x:c>
      <x:c r="M38" s="9" t="n">
        <x:f>MIN(100,ROUND(MIN(F38,20)*2+MIN(G38,80)*0.4+IF(C38="Corporate",28,IF(C38="Event planner",18,10)),0))</x:f>
        <x:v>50</x:v>
      </x:c>
      <x:c r="N38" s="9" t="str">
        <x:f>IF(M38&gt;=70,"A / discovery",IF(M38&gt;=45,"B / research","C / defer"))</x:f>
        <x:v>B / research</x:v>
      </x:c>
      <x:c r="O38" s="9" t="str">
        <x:f>IF(J38&gt;1,"Duplicate review",IF(K38="Review email","Email review",IF(L38="Review market","Market review","Reviewable")))</x:f>
        <x:v>Reviewable</x:v>
      </x:c>
      <x:c r="P38" s="9" t="str">
        <x:f>IF(O38="Duplicate review","Compare source rows",IF(O38&lt;&gt;"Reviewable","Resolve exception",IF(N38="A / discovery","Research buying committee","Map account context")))</x:f>
        <x:v>Map account context</x:v>
      </x:c>
      <x:c r="Q38" s="9" t="str">
        <x:f>IF(O38="Reviewable","Draft - verify externally","Hold - QA")</x:f>
        <x:v>Draft - verify externally</x:v>
      </x:c>
    </x:row>
  </x:sheetData>
  <x:conditionalFormatting sqref="O7:O38">
    <x:cfRule type="containsText" dxfId="0" priority="1" operator="containsText" text="review"/>
  </x:conditionalFormatting>
  <x:conditionalFormatting sqref="M7:M38">
    <x:cfRule type="colorScale" priority="2">
      <x:colorScale>
        <x:cfvo type="min"/>
        <x:cfvo type="percentile" val="50"/>
        <x:cfvo type="max"/>
        <x:color rgb="FFF7E9CD"/>
        <x:color rgb="FFDAE9FB"/>
        <x:color rgb="FFB8E3D3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91A0AF"/>
  </x:sheetPr>
  <x:sheetViews>
    <x:sheetView showGridLines="0" workbookViewId="0"/>
  </x:sheetViews>
  <x:sheetFormatPr defaultRowHeight="15"/>
  <x:cols>
    <x:col min="1" max="1" width="25" hidden="0" customWidth="1"/>
    <x:col min="2" max="2" width="65" hidden="0" customWidth="1"/>
    <x:col min="3" max="3" width="68" hidden="0" customWidth="1"/>
    <x:col min="4" max="4" width="5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</x:row>
    <x:row r="2" ht="25" customHeight="1">
      <x:c r="A2" s="2" t="str">
        <x:v>DATA CONTRACT</x:v>
      </x:c>
      <x:c r="B2" s="1"/>
      <x:c r="C2" s="1"/>
      <x:c r="D2" s="1"/>
      <x:c r="E2" s="1"/>
      <x:c r="F2" s="1"/>
      <x:c r="G2" s="1"/>
      <x:c r="H2" s="1"/>
    </x:row>
    <x:row r="3" ht="22" customHeight="1">
      <x:c r="A3" s="3" t="str">
        <x:v>A documented mapping from intake to CRM-ready review.</x:v>
      </x:c>
      <x:c r="B3" s="1"/>
      <x:c r="C3" s="1"/>
      <x:c r="D3" s="1"/>
      <x:c r="E3" s="1"/>
      <x:c r="F3" s="1"/>
      <x:c r="G3" s="1"/>
      <x:c r="H3" s="1"/>
    </x:row>
    <x:row r="4">
      <x:c r="A4" s="4"/>
      <x:c r="B4" s="4"/>
      <x:c r="C4" s="4"/>
      <x:c r="D4" s="4"/>
      <x:c r="E4" s="4"/>
      <x:c r="F4" s="4"/>
      <x:c r="G4" s="4"/>
      <x:c r="H4" s="4"/>
    </x:row>
    <x:row r="6" ht="28" customHeight="1">
      <x:c r="A6" s="7" t="str">
        <x:v>Field</x:v>
      </x:c>
      <x:c r="B6" s="7" t="str">
        <x:v>Mapping / rule</x:v>
      </x:c>
      <x:c r="C6" s="7" t="str">
        <x:v>Operational note</x:v>
      </x:c>
    </x:row>
    <x:row r="7" ht="22" customHeight="1">
      <x:c r="A7" s="8" t="str">
        <x:v>Normalized account</x:v>
      </x:c>
      <x:c r="B7" s="8" t="str">
        <x:v>TRIM(CLEAN(raw account))</x:v>
      </x:c>
      <x:c r="C7" s="8" t="str">
        <x:v>Preserve raw spelling for audit.</x:v>
      </x:c>
    </x:row>
    <x:row r="8" ht="22" customHeight="1">
      <x:c r="A8" s="8" t="str">
        <x:v>Duplicate count</x:v>
      </x:c>
      <x:c r="B8" s="8" t="str">
        <x:v>COUNTIF on normalized account</x:v>
      </x:c>
      <x:c r="C8" s="8" t="str">
        <x:v>Same name is a review flag, not an automatic merge.</x:v>
      </x:c>
    </x:row>
    <x:row r="9" ht="22" customHeight="1">
      <x:c r="A9" s="8" t="str">
        <x:v>Email check</x:v>
      </x:c>
      <x:c r="B9" s="8" t="str">
        <x:v>Contains @ and .example</x:v>
      </x:c>
      <x:c r="C9" s="8" t="str">
        <x:v>Checks demo format only; never validates deliverability.</x:v>
      </x:c>
    </x:row>
    <x:row r="10" ht="22" customHeight="1">
      <x:c r="A10" s="8" t="str">
        <x:v>Market check</x:v>
      </x:c>
      <x:c r="B10" s="8" t="str">
        <x:v>Netherlands</x:v>
      </x:c>
      <x:c r="C10" s="8" t="str">
        <x:v>Out-of-market records remain visible for triage.</x:v>
      </x:c>
    </x:row>
    <x:row r="11" ht="22" customHeight="1">
      <x:c r="A11" s="8" t="str">
        <x:v>Fit score</x:v>
      </x:c>
      <x:c r="B11" s="8" t="str">
        <x:v>Trips up to 40 pts + travelers up to 32 + buyer type up to 28</x:v>
      </x:c>
      <x:c r="C11" s="8" t="str">
        <x:v>Heuristic; confirm with the client before production.</x:v>
      </x:c>
    </x:row>
    <x:row r="12" ht="22" customHeight="1">
      <x:c r="A12" s="8" t="str">
        <x:v>CRM stage</x:v>
      </x:c>
      <x:c r="B12" s="8" t="str">
        <x:v>Draft when QA passes, hold otherwise</x:v>
      </x:c>
      <x:c r="C12" s="8" t="str">
        <x:v>Draft still requires external source and consent checks.</x:v>
      </x:c>
    </x:row>
  </x:sheetData>
  <x:pageMargins left="0.7" right="0.7" top="0.75" bottom="0.75" header="0.3" footer="0.3"/>
</x:worksheet>
</file>