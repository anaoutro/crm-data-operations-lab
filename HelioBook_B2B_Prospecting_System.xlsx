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cb28f0e2c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and Center" sheetId="1" r:id="R7cae78be356e4f47"/>
    <x:sheet xmlns:r="http://schemas.openxmlformats.org/officeDocument/2006/relationships" name="Accounts" sheetId="2" r:id="Rde7eec7fcbb84c76"/>
    <x:sheet xmlns:r="http://schemas.openxmlformats.org/officeDocument/2006/relationships" name="Campaign Planner" sheetId="3" r:id="Rdd45214d214748dc"/>
    <x:sheet xmlns:r="http://schemas.openxmlformats.org/officeDocument/2006/relationships" name="How to Use" sheetId="4" r:id="Rb647cbbc34eb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0.0"/>
  </x:numFmts>
  <x:fonts count="6">
    <x:font>
      <x:sz val="11"/>
      <x:name val="Carlito"/>
    </x:font>
    <x:font>
      <x:sz val="10"/>
      <x:color rgb="FF14243A"/>
      <x:name val="Arial"/>
    </x:font>
    <x:font>
      <x:b/>
      <x:sz val="15"/>
      <x:color rgb="FF14243A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0"/>
      <x:color rgb="FF14243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4243A"/>
      </x:patternFill>
    </x:fill>
    <x:fill>
      <x:patternFill patternType="solid">
        <x:fgColor rgb="FFFFF0C2"/>
      </x:patternFill>
    </x:fill>
    <x:fill>
      <x:patternFill patternType="solid">
        <x:fgColor rgb="FFEDF3FA"/>
      </x:patternFill>
    </x:fill>
  </x:fills>
  <x:borders count="2">
    <x:border/>
    <x:border>
      <x:bottom style="thin">
        <x:color rgb="FF2456A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02C2C"/>
      </x:font>
      <x:fill>
        <x:patternFill patternType="solid">
          <x:bgColor rgb="FFFDE3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f33c7eaa54262" /><Relationship Type="http://schemas.openxmlformats.org/officeDocument/2006/relationships/theme" Target="/xl/theme/theme1.xml" Id="R4e3abc83bc2f4865" /><Relationship Type="http://schemas.openxmlformats.org/officeDocument/2006/relationships/sharedStrings" Target="/xl/sharedStrings.xml" Id="Rfdb350bc0d324791" /><Relationship Type="http://schemas.openxmlformats.org/officeDocument/2006/relationships/worksheet" Target="/xl/worksheets/sheet1.xml" Id="R7cae78be356e4f47" /><Relationship Type="http://schemas.openxmlformats.org/officeDocument/2006/relationships/worksheet" Target="/xl/worksheets/sheet2.xml" Id="Rde7eec7fcbb84c76" /><Relationship Type="http://schemas.openxmlformats.org/officeDocument/2006/relationships/worksheet" Target="/xl/worksheets/sheet3.xml" Id="Rdd45214d214748dc" /><Relationship Type="http://schemas.openxmlformats.org/officeDocument/2006/relationships/worksheet" Target="/xl/worksheets/sheet4.xml" Id="Rb647cbbc34eb4a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243A"/>
  </x:sheetPr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0" hidden="0" customWidth="1"/>
    <x:col min="4" max="4" width="26" hidden="0" customWidth="1"/>
    <x:col min="5" max="5" width="16" hidden="0" customWidth="1"/>
    <x:col min="6" max="6" width="4" hidden="0" customWidth="1"/>
    <x:col min="7" max="7" width="24" hidden="0" customWidth="1"/>
    <x:col min="8" max="8" width="17" hidden="0" customWidth="1"/>
    <x:col min="9" max="9" width="4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5" customHeight="1">
      <x:c r="A2" s="2" t="str">
        <x:v>HELIOBOOK / B2B GROWTH OPS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3" t="str">
        <x:v>Portfolio simulation | fictional South African appointment SaaS | 29 Sep 2026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7" ht="28" customHeight="1">
      <x:c r="A7" s="7" t="str">
        <x:v>Segment</x:v>
      </x:c>
      <x:c r="B7" s="7" t="str">
        <x:v>Accounts</x:v>
      </x:c>
      <x:c r="C7" s="7" t="str">
        <x:v>Priority A</x:v>
      </x:c>
      <x:c r="D7" s="7" t="str">
        <x:v>Research complete</x:v>
      </x:c>
      <x:c r="E7" s="7" t="str">
        <x:v>Share A</x:v>
      </x:c>
      <x:c r="G7" s="7" t="str">
        <x:v>Workflow indicator</x:v>
      </x:c>
      <x:c r="H7" s="7" t="str">
        <x:v>Value</x:v>
      </x:c>
    </x:row>
    <x:row r="8" ht="22" customHeight="1">
      <x:c r="A8" s="8" t="str">
        <x:v>Salon</x:v>
      </x:c>
      <x:c r="B8" s="8" t="n">
        <x:f>COUNTIF(Accounts!$C$7:$C$42,A8)</x:f>
        <x:v>6</x:v>
      </x:c>
      <x:c r="C8" s="8" t="n">
        <x:f>COUNTIFS(Accounts!$C$7:$C$42,A8,Accounts!$N$7:$N$42,"A / investigate")</x:f>
        <x:v>2</x:v>
      </x:c>
      <x:c r="D8" s="8" t="n">
        <x:f>COUNTIFS(Accounts!$C$7:$C$42,A8,Accounts!$J$7:$J$42,"Research complete")</x:f>
        <x:v>2</x:v>
      </x:c>
      <x:c r="E8" s="12" t="n">
        <x:f>IFERROR(C8/B8,0)</x:f>
        <x:v>0.3333333333333333</x:v>
      </x:c>
      <x:c r="G8" s="8" t="str">
        <x:v>Synthetic accounts</x:v>
      </x:c>
      <x:c r="H8" s="8" t="n">
        <x:f>COUNTA(Accounts!A7:A42)</x:f>
        <x:v>36</x:v>
      </x:c>
    </x:row>
    <x:row r="9" ht="22" customHeight="1">
      <x:c r="A9" s="8" t="str">
        <x:v>Barber</x:v>
      </x:c>
      <x:c r="B9" s="8" t="n">
        <x:f>COUNTIF(Accounts!$C$7:$C$42,A9)</x:f>
        <x:v>6</x:v>
      </x:c>
      <x:c r="C9" s="8" t="n">
        <x:f>COUNTIFS(Accounts!$C$7:$C$42,A9,Accounts!$N$7:$N$42,"A / investigate")</x:f>
        <x:v>2</x:v>
      </x:c>
      <x:c r="D9" s="8" t="n">
        <x:f>COUNTIFS(Accounts!$C$7:$C$42,A9,Accounts!$J$7:$J$42,"Research complete")</x:f>
        <x:v>2</x:v>
      </x:c>
      <x:c r="E9" s="12" t="n">
        <x:f>IFERROR(C9/B9,0)</x:f>
        <x:v>0.3333333333333333</x:v>
      </x:c>
      <x:c r="G9" s="8" t="str">
        <x:v>Priority A</x:v>
      </x:c>
      <x:c r="H9" s="8" t="n">
        <x:f>COUNTIF(Accounts!N7:N42,"A / investigate")</x:f>
        <x:v>10</x:v>
      </x:c>
    </x:row>
    <x:row r="10" ht="22" customHeight="1">
      <x:c r="A10" s="8" t="str">
        <x:v>Wellness</x:v>
      </x:c>
      <x:c r="B10" s="8" t="n">
        <x:f>COUNTIF(Accounts!$C$7:$C$42,A10)</x:f>
        <x:v>6</x:v>
      </x:c>
      <x:c r="C10" s="8" t="n">
        <x:f>COUNTIFS(Accounts!$C$7:$C$42,A10,Accounts!$N$7:$N$42,"A / investigate")</x:f>
        <x:v>2</x:v>
      </x:c>
      <x:c r="D10" s="8" t="n">
        <x:f>COUNTIFS(Accounts!$C$7:$C$42,A10,Accounts!$J$7:$J$42,"Research complete")</x:f>
        <x:v>2</x:v>
      </x:c>
      <x:c r="E10" s="12" t="n">
        <x:f>IFERROR(C10/B10,0)</x:f>
        <x:v>0.3333333333333333</x:v>
      </x:c>
      <x:c r="G10" s="8" t="str">
        <x:v>Research complete</x:v>
      </x:c>
      <x:c r="H10" s="8" t="n">
        <x:f>COUNTIF(Accounts!J7:J42,"Research complete")</x:f>
        <x:v>12</x:v>
      </x:c>
    </x:row>
    <x:row r="11" ht="22" customHeight="1">
      <x:c r="A11" s="8" t="str">
        <x:v>Therapy</x:v>
      </x:c>
      <x:c r="B11" s="8" t="n">
        <x:f>COUNTIF(Accounts!$C$7:$C$42,A11)</x:f>
        <x:v>6</x:v>
      </x:c>
      <x:c r="C11" s="8" t="n">
        <x:f>COUNTIFS(Accounts!$C$7:$C$42,A11,Accounts!$N$7:$N$42,"A / investigate")</x:f>
        <x:v>1</x:v>
      </x:c>
      <x:c r="D11" s="8" t="n">
        <x:f>COUNTIFS(Accounts!$C$7:$C$42,A11,Accounts!$J$7:$J$42,"Research complete")</x:f>
        <x:v>2</x:v>
      </x:c>
      <x:c r="E11" s="12" t="n">
        <x:f>IFERROR(C11/B11,0)</x:f>
        <x:v>0.16666666666666666</x:v>
      </x:c>
      <x:c r="G11" s="8" t="str">
        <x:v>Duplicate warnings</x:v>
      </x:c>
      <x:c r="H11" s="8" t="n">
        <x:f>COUNTIF(Accounts!O7:O42,"Review duplicate")</x:f>
        <x:v>0</x:v>
      </x:c>
    </x:row>
    <x:row r="12" ht="22" customHeight="1">
      <x:c r="A12" s="8" t="str">
        <x:v>Tattoo</x:v>
      </x:c>
      <x:c r="B12" s="8" t="n">
        <x:f>COUNTIF(Accounts!$C$7:$C$42,A12)</x:f>
        <x:v>6</x:v>
      </x:c>
      <x:c r="C12" s="8" t="n">
        <x:f>COUNTIFS(Accounts!$C$7:$C$42,A12,Accounts!$N$7:$N$42,"A / investigate")</x:f>
        <x:v>1</x:v>
      </x:c>
      <x:c r="D12" s="8" t="n">
        <x:f>COUNTIFS(Accounts!$C$7:$C$42,A12,Accounts!$J$7:$J$42,"Research complete")</x:f>
        <x:v>2</x:v>
      </x:c>
      <x:c r="E12" s="12" t="n">
        <x:f>IFERROR(C12/B12,0)</x:f>
        <x:v>0.16666666666666666</x:v>
      </x:c>
    </x:row>
    <x:row r="13" ht="22" customHeight="1">
      <x:c r="A13" s="8" t="str">
        <x:v>Fitness</x:v>
      </x:c>
      <x:c r="B13" s="8" t="n">
        <x:f>COUNTIF(Accounts!$C$7:$C$42,A13)</x:f>
        <x:v>6</x:v>
      </x:c>
      <x:c r="C13" s="8" t="n">
        <x:f>COUNTIFS(Accounts!$C$7:$C$42,A13,Accounts!$N$7:$N$42,"A / investigate")</x:f>
        <x:v>2</x:v>
      </x:c>
      <x:c r="D13" s="8" t="n">
        <x:f>COUNTIFS(Accounts!$C$7:$C$42,A13,Accounts!$J$7:$J$42,"Research complete")</x:f>
        <x:v>2</x:v>
      </x:c>
      <x:c r="E13" s="12" t="n">
        <x:f>IFERROR(C13/B13,0)</x:f>
        <x:v>0.3333333333333333</x:v>
      </x:c>
    </x:row>
    <x:row r="16" ht="28" customHeight="1">
      <x:c r="A16" s="7" t="str">
        <x:v>Process</x:v>
      </x:c>
      <x:c r="B16" s="7" t="str">
        <x:v>Owner</x:v>
      </x:c>
      <x:c r="C16" s="7" t="str">
        <x:v>Output</x:v>
      </x:c>
      <x:c r="D16" s="7" t="str">
        <x:v>Control</x:v>
      </x:c>
    </x:row>
    <x:row r="17" ht="22" customHeight="1">
      <x:c r="A17" s="8" t="str">
        <x:v>Research</x:v>
      </x:c>
      <x:c r="B17" s="8" t="str">
        <x:v>Researcher</x:v>
      </x:c>
      <x:c r="C17" s="8" t="str">
        <x:v>Source + buying role</x:v>
      </x:c>
      <x:c r="D17" s="8" t="str">
        <x:v>Evidence before contact</x:v>
      </x:c>
    </x:row>
    <x:row r="18" ht="22" customHeight="1">
      <x:c r="A18" s="8" t="str">
        <x:v>Qualification</x:v>
      </x:c>
      <x:c r="B18" s="8" t="str">
        <x:v>Analyst</x:v>
      </x:c>
      <x:c r="C18" s="8" t="str">
        <x:v>Score + priority tier</x:v>
      </x:c>
      <x:c r="D18" s="8" t="str">
        <x:v>Review duplicates</x:v>
      </x:c>
    </x:row>
    <x:row r="19" ht="22" customHeight="1">
      <x:c r="A19" s="8" t="str">
        <x:v>Personalization</x:v>
      </x:c>
      <x:c r="B19" s="8" t="str">
        <x:v>Sales</x:v>
      </x:c>
      <x:c r="C19" s="8" t="str">
        <x:v>Contextual opening</x:v>
      </x:c>
      <x:c r="D19" s="8" t="str">
        <x:v>No bulk outreach to demo contacts</x:v>
      </x:c>
    </x:row>
    <x:row r="20" ht="22" customHeight="1">
      <x:c r="A20" s="8" t="str">
        <x:v>CRM handoff</x:v>
      </x:c>
      <x:c r="B20" s="8" t="str">
        <x:v>Ops</x:v>
      </x:c>
      <x:c r="C20" s="8" t="str">
        <x:v>Account + owner + next step</x:v>
      </x:c>
      <x:c r="D20" s="8" t="str">
        <x:v>Review before import</x:v>
      </x:c>
    </x:row>
    <x:row r="23">
      <x:c r="A23" s="3" t="str">
        <x:v>Score = pain (25) + intent (30) + locations (25) + staff (20). Thresholds: A ≥75, B ≥55.</x:v>
      </x:c>
    </x:row>
    <x:row r="24">
      <x:c r="A24" s="3" t="str">
        <x:v>These figures describe only the synthetic dataset; they are not business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3" hidden="0" customWidth="1"/>
    <x:col min="4" max="4" width="16" hidden="0" customWidth="1"/>
    <x:col min="5" max="5" width="12" hidden="0" customWidth="1"/>
    <x:col min="6" max="6" width="9" hidden="0" customWidth="1"/>
    <x:col min="7" max="7" width="18" hidden="0" customWidth="1"/>
    <x:col min="8" max="8" width="18" hidden="0" customWidth="1"/>
    <x:col min="9" max="9" width="20" hidden="0" customWidth="1"/>
    <x:col min="10" max="10" width="19" hidden="0" customWidth="1"/>
    <x:col min="11" max="11" width="19" hidden="0" customWidth="1"/>
    <x:col min="12" max="12" width="31" hidden="0" customWidth="1"/>
    <x:col min="13" max="13" width="12" hidden="0" customWidth="1"/>
    <x:col min="14" max="14" width="19" hidden="0" customWidth="1"/>
    <x:col min="15" max="15" width="19" hidden="0" customWidth="1"/>
    <x:col min="16" max="16" width="24" hidden="0" customWidth="1"/>
    <x:col min="17" max="17" width="16" hidden="0" customWidth="1"/>
    <x:col min="18" max="18" width="46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5" customHeight="1">
      <x:c r="A2" s="2" t="str">
        <x:v>ACCOUNT RESEARCH / WORK QUEUE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2" customHeight="1">
      <x:c r="A3" s="3" t="str">
        <x:v>Synthetic organizations and reserved .example addresses. No contacts have been verified.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</x:row>
    <x:row r="6" ht="28" customHeight="1">
      <x:c r="A6" s="7" t="str">
        <x:v>ID</x:v>
      </x:c>
      <x:c r="B6" s="7" t="str">
        <x:v>Organization</x:v>
      </x:c>
      <x:c r="C6" s="7" t="str">
        <x:v>Vertical</x:v>
      </x:c>
      <x:c r="D6" s="7" t="str">
        <x:v>City</x:v>
      </x:c>
      <x:c r="E6" s="7" t="str">
        <x:v>Locations</x:v>
      </x:c>
      <x:c r="F6" s="7" t="str">
        <x:v>Staff</x:v>
      </x:c>
      <x:c r="G6" s="7" t="str">
        <x:v>Pain signal (1-5)</x:v>
      </x:c>
      <x:c r="H6" s="7" t="str">
        <x:v>Intent signal (1-5)</x:v>
      </x:c>
      <x:c r="I6" s="7" t="str">
        <x:v>Buying role</x:v>
      </x:c>
      <x:c r="J6" s="7" t="str">
        <x:v>Research status</x:v>
      </x:c>
      <x:c r="K6" s="7" t="str">
        <x:v>Source</x:v>
      </x:c>
      <x:c r="L6" s="7" t="str">
        <x:v>Work email (demo)</x:v>
      </x:c>
      <x:c r="M6" s="7" t="str">
        <x:v>Fit score</x:v>
      </x:c>
      <x:c r="N6" s="7" t="str">
        <x:v>Priority</x:v>
      </x:c>
      <x:c r="O6" s="7" t="str">
        <x:v>Duplicate</x:v>
      </x:c>
      <x:c r="P6" s="7" t="str">
        <x:v>Next action</x:v>
      </x:c>
      <x:c r="Q6" s="7" t="str">
        <x:v>Owner</x:v>
      </x:c>
      <x:c r="R6" s="7" t="str">
        <x:v>Notes</x:v>
      </x:c>
    </x:row>
    <x:row r="7" ht="22" customHeight="1">
      <x:c r="A7" s="8" t="str">
        <x:v>HB-001</x:v>
      </x:c>
      <x:c r="B7" s="8" t="str">
        <x:v>Copper Lane Salon</x:v>
      </x:c>
      <x:c r="C7" s="8" t="str">
        <x:v>Salon</x:v>
      </x:c>
      <x:c r="D7" s="8" t="str">
        <x:v>Johannesburg</x:v>
      </x:c>
      <x:c r="E7" s="9" t="n">
        <x:v>1</x:v>
      </x:c>
      <x:c r="F7" s="9" t="n">
        <x:v>4</x:v>
      </x:c>
      <x:c r="G7" s="9" t="n">
        <x:v>1</x:v>
      </x:c>
      <x:c r="H7" s="9" t="n">
        <x:v>1</x:v>
      </x:c>
      <x:c r="I7" s="8" t="str">
        <x:v>Owner</x:v>
      </x:c>
      <x:c r="J7" s="9" t="str">
        <x:v>Unresearched</x:v>
      </x:c>
      <x:c r="K7" s="9" t="str">
        <x:v>Synthetic scenario</x:v>
      </x:c>
      <x:c r="L7" s="9" t="str">
        <x:v>role1@heliobook-demo.example</x:v>
      </x:c>
      <x:c r="M7" s="11" t="n">
        <x:f>ROUND(G7*5+H7*6+MIN(E7,5)*5+MIN(F7,50)*0.4,0)</x:f>
        <x:v>18</x:v>
      </x:c>
      <x:c r="N7" s="10" t="str">
        <x:f>IF(M7&gt;=75,"A / investigate",IF(M7&gt;=55,"B / nurture","C / hold"))</x:f>
        <x:v>C / hold</x:v>
      </x:c>
      <x:c r="O7" s="10" t="str">
        <x:f>IF(COUNTIF($B$7:B7,B7)&gt;1,"Review duplicate","Unique")</x:f>
        <x:v>Unique</x:v>
      </x:c>
      <x:c r="P7" s="10" t="str">
        <x:f>IF(O7="Review duplicate","Merge record",IF(J7="Research complete",IF(N7="A / investigate","Personalize discovery","Add to nurture"),"Verify source and role"))</x:f>
        <x:v>Verify source and role</x:v>
      </x:c>
      <x:c r="Q7" s="9" t="str">
        <x:v>Ana</x:v>
      </x:c>
      <x:c r="R7" s="9" t="str">
        <x:v>Illustrative record; verify real sources before use</x:v>
      </x:c>
    </x:row>
    <x:row r="8" ht="22" customHeight="1">
      <x:c r="A8" s="8" t="str">
        <x:v>HB-002</x:v>
      </x:c>
      <x:c r="B8" s="8" t="str">
        <x:v>Bright Orchard Salon</x:v>
      </x:c>
      <x:c r="C8" s="8" t="str">
        <x:v>Salon</x:v>
      </x:c>
      <x:c r="D8" s="8" t="str">
        <x:v>Cape Town</x:v>
      </x:c>
      <x:c r="E8" s="9" t="n">
        <x:v>4</x:v>
      </x:c>
      <x:c r="F8" s="9" t="n">
        <x:v>15</x:v>
      </x:c>
      <x:c r="G8" s="9" t="n">
        <x:v>4</x:v>
      </x:c>
      <x:c r="H8" s="9" t="n">
        <x:v>3</x:v>
      </x:c>
      <x:c r="I8" s="8" t="str">
        <x:v>Operations Manager</x:v>
      </x:c>
      <x:c r="J8" s="9" t="str">
        <x:v>Needs evidence</x:v>
      </x:c>
      <x:c r="K8" s="9" t="str">
        <x:v>Synthetic scenario</x:v>
      </x:c>
      <x:c r="L8" s="9" t="str">
        <x:v>role2@heliobook-demo.example</x:v>
      </x:c>
      <x:c r="M8" s="11" t="n">
        <x:f>ROUND(G8*5+H8*6+MIN(E8,5)*5+MIN(F8,50)*0.4,0)</x:f>
        <x:v>64</x:v>
      </x:c>
      <x:c r="N8" s="10" t="str">
        <x:f>IF(M8&gt;=75,"A / investigate",IF(M8&gt;=55,"B / nurture","C / hold"))</x:f>
        <x:v>B / nurture</x:v>
      </x:c>
      <x:c r="O8" s="10" t="str">
        <x:f>IF(COUNTIF($B$7:B8,B8)&gt;1,"Review duplicate","Unique")</x:f>
        <x:v>Unique</x:v>
      </x:c>
      <x:c r="P8" s="10" t="str">
        <x:f>IF(O8="Review duplicate","Merge record",IF(J8="Research complete",IF(N8="A / investigate","Personalize discovery","Add to nurture"),"Verify source and role"))</x:f>
        <x:v>Verify source and role</x:v>
      </x:c>
      <x:c r="Q8" s="9" t="str">
        <x:v>Research queue</x:v>
      </x:c>
      <x:c r="R8" s="9" t="str">
        <x:v>Illustrative record; verify real sources before use</x:v>
      </x:c>
    </x:row>
    <x:row r="9" ht="22" customHeight="1">
      <x:c r="A9" s="8" t="str">
        <x:v>HB-003</x:v>
      </x:c>
      <x:c r="B9" s="8" t="str">
        <x:v>Sunset Studio Salon</x:v>
      </x:c>
      <x:c r="C9" s="8" t="str">
        <x:v>Salon</x:v>
      </x:c>
      <x:c r="D9" s="8" t="str">
        <x:v>Durban</x:v>
      </x:c>
      <x:c r="E9" s="9" t="n">
        <x:v>7</x:v>
      </x:c>
      <x:c r="F9" s="9" t="n">
        <x:v>26</x:v>
      </x:c>
      <x:c r="G9" s="9" t="n">
        <x:v>2</x:v>
      </x:c>
      <x:c r="H9" s="9" t="n">
        <x:v>5</x:v>
      </x:c>
      <x:c r="I9" s="8" t="str">
        <x:v>Marketing Lead</x:v>
      </x:c>
      <x:c r="J9" s="9" t="str">
        <x:v>Research complete</x:v>
      </x:c>
      <x:c r="K9" s="9" t="str">
        <x:v>Synthetic scenario</x:v>
      </x:c>
      <x:c r="L9" s="9" t="str">
        <x:v>role3@heliobook-demo.example</x:v>
      </x:c>
      <x:c r="M9" s="11" t="n">
        <x:f>ROUND(G9*5+H9*6+MIN(E9,5)*5+MIN(F9,50)*0.4,0)</x:f>
        <x:v>75</x:v>
      </x:c>
      <x:c r="N9" s="10" t="str">
        <x:f>IF(M9&gt;=75,"A / investigate",IF(M9&gt;=55,"B / nurture","C / hold"))</x:f>
        <x:v>A / investigate</x:v>
      </x:c>
      <x:c r="O9" s="10" t="str">
        <x:f>IF(COUNTIF($B$7:B9,B9)&gt;1,"Review duplicate","Unique")</x:f>
        <x:v>Unique</x:v>
      </x:c>
      <x:c r="P9" s="10" t="str">
        <x:f>IF(O9="Review duplicate","Merge record",IF(J9="Research complete",IF(N9="A / investigate","Personalize discovery","Add to nurture"),"Verify source and role"))</x:f>
        <x:v>Personalize discovery</x:v>
      </x:c>
      <x:c r="Q9" s="9" t="str">
        <x:v>Ana</x:v>
      </x:c>
      <x:c r="R9" s="9" t="str">
        <x:v>Illustrative record; verify real sources before use</x:v>
      </x:c>
    </x:row>
    <x:row r="10" ht="22" customHeight="1">
      <x:c r="A10" s="8" t="str">
        <x:v>HB-004</x:v>
      </x:c>
      <x:c r="B10" s="8" t="str">
        <x:v>Blue Fern Salon</x:v>
      </x:c>
      <x:c r="C10" s="8" t="str">
        <x:v>Salon</x:v>
      </x:c>
      <x:c r="D10" s="8" t="str">
        <x:v>Pretoria</x:v>
      </x:c>
      <x:c r="E10" s="9" t="n">
        <x:v>3</x:v>
      </x:c>
      <x:c r="F10" s="9" t="n">
        <x:v>37</x:v>
      </x:c>
      <x:c r="G10" s="9" t="n">
        <x:v>5</x:v>
      </x:c>
      <x:c r="H10" s="9" t="n">
        <x:v>2</x:v>
      </x:c>
      <x:c r="I10" s="8" t="str">
        <x:v>Owner</x:v>
      </x:c>
      <x:c r="J10" s="9" t="str">
        <x:v>Unresearched</x:v>
      </x:c>
      <x:c r="K10" s="9" t="str">
        <x:v>Synthetic scenario</x:v>
      </x:c>
      <x:c r="L10" s="9" t="str">
        <x:v>role4@heliobook-demo.example</x:v>
      </x:c>
      <x:c r="M10" s="11" t="n">
        <x:f>ROUND(G10*5+H10*6+MIN(E10,5)*5+MIN(F10,50)*0.4,0)</x:f>
        <x:v>67</x:v>
      </x:c>
      <x:c r="N10" s="10" t="str">
        <x:f>IF(M10&gt;=75,"A / investigate",IF(M10&gt;=55,"B / nurture","C / hold"))</x:f>
        <x:v>B / nurture</x:v>
      </x:c>
      <x:c r="O10" s="10" t="str">
        <x:f>IF(COUNTIF($B$7:B10,B10)&gt;1,"Review duplicate","Unique")</x:f>
        <x:v>Unique</x:v>
      </x:c>
      <x:c r="P10" s="10" t="str">
        <x:f>IF(O10="Review duplicate","Merge record",IF(J10="Research complete",IF(N10="A / investigate","Personalize discovery","Add to nurture"),"Verify source and role"))</x:f>
        <x:v>Verify source and role</x:v>
      </x:c>
      <x:c r="Q10" s="9" t="str">
        <x:v>Research queue</x:v>
      </x:c>
      <x:c r="R10" s="9" t="str">
        <x:v>Illustrative record; verify real sources before use</x:v>
      </x:c>
    </x:row>
    <x:row r="11" ht="22" customHeight="1">
      <x:c r="A11" s="8" t="str">
        <x:v>HB-005</x:v>
      </x:c>
      <x:c r="B11" s="8" t="str">
        <x:v>Harbor Circle Salon</x:v>
      </x:c>
      <x:c r="C11" s="8" t="str">
        <x:v>Salon</x:v>
      </x:c>
      <x:c r="D11" s="8" t="str">
        <x:v>Gqeberha</x:v>
      </x:c>
      <x:c r="E11" s="9" t="n">
        <x:v>6</x:v>
      </x:c>
      <x:c r="F11" s="9" t="n">
        <x:v>48</x:v>
      </x:c>
      <x:c r="G11" s="9" t="n">
        <x:v>3</x:v>
      </x:c>
      <x:c r="H11" s="9" t="n">
        <x:v>4</x:v>
      </x:c>
      <x:c r="I11" s="8" t="str">
        <x:v>Operations Manager</x:v>
      </x:c>
      <x:c r="J11" s="9" t="str">
        <x:v>Needs evidence</x:v>
      </x:c>
      <x:c r="K11" s="9" t="str">
        <x:v>Synthetic scenario</x:v>
      </x:c>
      <x:c r="L11" s="9" t="str">
        <x:v>role5@heliobook-demo.example</x:v>
      </x:c>
      <x:c r="M11" s="11" t="n">
        <x:f>ROUND(G11*5+H11*6+MIN(E11,5)*5+MIN(F11,50)*0.4,0)</x:f>
        <x:v>83</x:v>
      </x:c>
      <x:c r="N11" s="10" t="str">
        <x:f>IF(M11&gt;=75,"A / investigate",IF(M11&gt;=55,"B / nurture","C / hold"))</x:f>
        <x:v>A / investigate</x:v>
      </x:c>
      <x:c r="O11" s="10" t="str">
        <x:f>IF(COUNTIF($B$7:B11,B11)&gt;1,"Review duplicate","Unique")</x:f>
        <x:v>Unique</x:v>
      </x:c>
      <x:c r="P11" s="10" t="str">
        <x:f>IF(O11="Review duplicate","Merge record",IF(J11="Research complete",IF(N11="A / investigate","Personalize discovery","Add to nurture"),"Verify source and role"))</x:f>
        <x:v>Verify source and role</x:v>
      </x:c>
      <x:c r="Q11" s="9" t="str">
        <x:v>Ana</x:v>
      </x:c>
      <x:c r="R11" s="9" t="str">
        <x:v>Illustrative record; verify real sources before use</x:v>
      </x:c>
    </x:row>
    <x:row r="12" ht="22" customHeight="1">
      <x:c r="A12" s="8" t="str">
        <x:v>HB-006</x:v>
      </x:c>
      <x:c r="B12" s="8" t="str">
        <x:v>Golden Route Salon</x:v>
      </x:c>
      <x:c r="C12" s="8" t="str">
        <x:v>Salon</x:v>
      </x:c>
      <x:c r="D12" s="8" t="str">
        <x:v>Stellenbosch</x:v>
      </x:c>
      <x:c r="E12" s="9" t="n">
        <x:v>2</x:v>
      </x:c>
      <x:c r="F12" s="9" t="n">
        <x:v>59</x:v>
      </x:c>
      <x:c r="G12" s="9" t="n">
        <x:v>1</x:v>
      </x:c>
      <x:c r="H12" s="9" t="n">
        <x:v>1</x:v>
      </x:c>
      <x:c r="I12" s="8" t="str">
        <x:v>Marketing Lead</x:v>
      </x:c>
      <x:c r="J12" s="9" t="str">
        <x:v>Research complete</x:v>
      </x:c>
      <x:c r="K12" s="9" t="str">
        <x:v>Synthetic scenario</x:v>
      </x:c>
      <x:c r="L12" s="9" t="str">
        <x:v>role6@heliobook-demo.example</x:v>
      </x:c>
      <x:c r="M12" s="11" t="n">
        <x:f>ROUND(G12*5+H12*6+MIN(E12,5)*5+MIN(F12,50)*0.4,0)</x:f>
        <x:v>41</x:v>
      </x:c>
      <x:c r="N12" s="10" t="str">
        <x:f>IF(M12&gt;=75,"A / investigate",IF(M12&gt;=55,"B / nurture","C / hold"))</x:f>
        <x:v>C / hold</x:v>
      </x:c>
      <x:c r="O12" s="10" t="str">
        <x:f>IF(COUNTIF($B$7:B12,B12)&gt;1,"Review duplicate","Unique")</x:f>
        <x:v>Unique</x:v>
      </x:c>
      <x:c r="P12" s="10" t="str">
        <x:f>IF(O12="Review duplicate","Merge record",IF(J12="Research complete",IF(N12="A / investigate","Personalize discovery","Add to nurture"),"Verify source and role"))</x:f>
        <x:v>Add to nurture</x:v>
      </x:c>
      <x:c r="Q12" s="9" t="str">
        <x:v>Research queue</x:v>
      </x:c>
      <x:c r="R12" s="9" t="str">
        <x:v>Illustrative record; verify real sources before use</x:v>
      </x:c>
    </x:row>
    <x:row r="13" ht="22" customHeight="1">
      <x:c r="A13" s="8" t="str">
        <x:v>HB-007</x:v>
      </x:c>
      <x:c r="B13" s="8" t="str">
        <x:v>Ivory House Barber</x:v>
      </x:c>
      <x:c r="C13" s="8" t="str">
        <x:v>Barber</x:v>
      </x:c>
      <x:c r="D13" s="8" t="str">
        <x:v>Johannesburg</x:v>
      </x:c>
      <x:c r="E13" s="9" t="n">
        <x:v>5</x:v>
      </x:c>
      <x:c r="F13" s="9" t="n">
        <x:v>7</x:v>
      </x:c>
      <x:c r="G13" s="9" t="n">
        <x:v>4</x:v>
      </x:c>
      <x:c r="H13" s="9" t="n">
        <x:v>3</x:v>
      </x:c>
      <x:c r="I13" s="8" t="str">
        <x:v>Owner</x:v>
      </x:c>
      <x:c r="J13" s="9" t="str">
        <x:v>Unresearched</x:v>
      </x:c>
      <x:c r="K13" s="9" t="str">
        <x:v>Synthetic scenario</x:v>
      </x:c>
      <x:c r="L13" s="9" t="str">
        <x:v>role7@heliobook-demo.example</x:v>
      </x:c>
      <x:c r="M13" s="11" t="n">
        <x:f>ROUND(G13*5+H13*6+MIN(E13,5)*5+MIN(F13,50)*0.4,0)</x:f>
        <x:v>66</x:v>
      </x:c>
      <x:c r="N13" s="10" t="str">
        <x:f>IF(M13&gt;=75,"A / investigate",IF(M13&gt;=55,"B / nurture","C / hold"))</x:f>
        <x:v>B / nurture</x:v>
      </x:c>
      <x:c r="O13" s="10" t="str">
        <x:f>IF(COUNTIF($B$7:B13,B13)&gt;1,"Review duplicate","Unique")</x:f>
        <x:v>Unique</x:v>
      </x:c>
      <x:c r="P13" s="10" t="str">
        <x:f>IF(O13="Review duplicate","Merge record",IF(J13="Research complete",IF(N13="A / investigate","Personalize discovery","Add to nurture"),"Verify source and role"))</x:f>
        <x:v>Verify source and role</x:v>
      </x:c>
      <x:c r="Q13" s="9" t="str">
        <x:v>Ana</x:v>
      </x:c>
      <x:c r="R13" s="9" t="str">
        <x:v>Illustrative record; verify real sources before use</x:v>
      </x:c>
    </x:row>
    <x:row r="14" ht="22" customHeight="1">
      <x:c r="A14" s="8" t="str">
        <x:v>HB-008</x:v>
      </x:c>
      <x:c r="B14" s="8" t="str">
        <x:v>Mosaic North Barber</x:v>
      </x:c>
      <x:c r="C14" s="8" t="str">
        <x:v>Barber</x:v>
      </x:c>
      <x:c r="D14" s="8" t="str">
        <x:v>Cape Town</x:v>
      </x:c>
      <x:c r="E14" s="9" t="n">
        <x:v>1</x:v>
      </x:c>
      <x:c r="F14" s="9" t="n">
        <x:v>18</x:v>
      </x:c>
      <x:c r="G14" s="9" t="n">
        <x:v>2</x:v>
      </x:c>
      <x:c r="H14" s="9" t="n">
        <x:v>5</x:v>
      </x:c>
      <x:c r="I14" s="8" t="str">
        <x:v>Operations Manager</x:v>
      </x:c>
      <x:c r="J14" s="9" t="str">
        <x:v>Needs evidence</x:v>
      </x:c>
      <x:c r="K14" s="9" t="str">
        <x:v>Synthetic scenario</x:v>
      </x:c>
      <x:c r="L14" s="9" t="str">
        <x:v>role8@heliobook-demo.example</x:v>
      </x:c>
      <x:c r="M14" s="11" t="n">
        <x:f>ROUND(G14*5+H14*6+MIN(E14,5)*5+MIN(F14,50)*0.4,0)</x:f>
        <x:v>52</x:v>
      </x:c>
      <x:c r="N14" s="10" t="str">
        <x:f>IF(M14&gt;=75,"A / investigate",IF(M14&gt;=55,"B / nurture","C / hold"))</x:f>
        <x:v>C / hold</x:v>
      </x:c>
      <x:c r="O14" s="10" t="str">
        <x:f>IF(COUNTIF($B$7:B14,B14)&gt;1,"Review duplicate","Unique")</x:f>
        <x:v>Unique</x:v>
      </x:c>
      <x:c r="P14" s="10" t="str">
        <x:f>IF(O14="Review duplicate","Merge record",IF(J14="Research complete",IF(N14="A / investigate","Personalize discovery","Add to nurture"),"Verify source and role"))</x:f>
        <x:v>Verify source and role</x:v>
      </x:c>
      <x:c r="Q14" s="9" t="str">
        <x:v>Research queue</x:v>
      </x:c>
      <x:c r="R14" s="9" t="str">
        <x:v>Illustrative record; verify real sources before use</x:v>
      </x:c>
    </x:row>
    <x:row r="15" ht="22" customHeight="1">
      <x:c r="A15" s="8" t="str">
        <x:v>HB-009</x:v>
      </x:c>
      <x:c r="B15" s="8" t="str">
        <x:v>Sable Point Barber</x:v>
      </x:c>
      <x:c r="C15" s="8" t="str">
        <x:v>Barber</x:v>
      </x:c>
      <x:c r="D15" s="8" t="str">
        <x:v>Durban</x:v>
      </x:c>
      <x:c r="E15" s="9" t="n">
        <x:v>4</x:v>
      </x:c>
      <x:c r="F15" s="9" t="n">
        <x:v>29</x:v>
      </x:c>
      <x:c r="G15" s="9" t="n">
        <x:v>5</x:v>
      </x:c>
      <x:c r="H15" s="9" t="n">
        <x:v>2</x:v>
      </x:c>
      <x:c r="I15" s="8" t="str">
        <x:v>Marketing Lead</x:v>
      </x:c>
      <x:c r="J15" s="9" t="str">
        <x:v>Research complete</x:v>
      </x:c>
      <x:c r="K15" s="9" t="str">
        <x:v>Synthetic scenario</x:v>
      </x:c>
      <x:c r="L15" s="9" t="str">
        <x:v>role9@heliobook-demo.example</x:v>
      </x:c>
      <x:c r="M15" s="11" t="n">
        <x:f>ROUND(G15*5+H15*6+MIN(E15,5)*5+MIN(F15,50)*0.4,0)</x:f>
        <x:v>69</x:v>
      </x:c>
      <x:c r="N15" s="10" t="str">
        <x:f>IF(M15&gt;=75,"A / investigate",IF(M15&gt;=55,"B / nurture","C / hold"))</x:f>
        <x:v>B / nurture</x:v>
      </x:c>
      <x:c r="O15" s="10" t="str">
        <x:f>IF(COUNTIF($B$7:B15,B15)&gt;1,"Review duplicate","Unique")</x:f>
        <x:v>Unique</x:v>
      </x:c>
      <x:c r="P15" s="10" t="str">
        <x:f>IF(O15="Review duplicate","Merge record",IF(J15="Research complete",IF(N15="A / investigate","Personalize discovery","Add to nurture"),"Verify source and role"))</x:f>
        <x:v>Add to nurture</x:v>
      </x:c>
      <x:c r="Q15" s="9" t="str">
        <x:v>Ana</x:v>
      </x:c>
      <x:c r="R15" s="9" t="str">
        <x:v>Illustrative record; verify real sources before use</x:v>
      </x:c>
    </x:row>
    <x:row r="16" ht="22" customHeight="1">
      <x:c r="A16" s="8" t="str">
        <x:v>HB-010</x:v>
      </x:c>
      <x:c r="B16" s="8" t="str">
        <x:v>Cedar Bloom Barber</x:v>
      </x:c>
      <x:c r="C16" s="8" t="str">
        <x:v>Barber</x:v>
      </x:c>
      <x:c r="D16" s="8" t="str">
        <x:v>Pretoria</x:v>
      </x:c>
      <x:c r="E16" s="9" t="n">
        <x:v>7</x:v>
      </x:c>
      <x:c r="F16" s="9" t="n">
        <x:v>40</x:v>
      </x:c>
      <x:c r="G16" s="9" t="n">
        <x:v>3</x:v>
      </x:c>
      <x:c r="H16" s="9" t="n">
        <x:v>4</x:v>
      </x:c>
      <x:c r="I16" s="8" t="str">
        <x:v>Owner</x:v>
      </x:c>
      <x:c r="J16" s="9" t="str">
        <x:v>Unresearched</x:v>
      </x:c>
      <x:c r="K16" s="9" t="str">
        <x:v>Synthetic scenario</x:v>
      </x:c>
      <x:c r="L16" s="9" t="str">
        <x:v>role10@heliobook-demo.example</x:v>
      </x:c>
      <x:c r="M16" s="11" t="n">
        <x:f>ROUND(G16*5+H16*6+MIN(E16,5)*5+MIN(F16,50)*0.4,0)</x:f>
        <x:v>80</x:v>
      </x:c>
      <x:c r="N16" s="10" t="str">
        <x:f>IF(M16&gt;=75,"A / investigate",IF(M16&gt;=55,"B / nurture","C / hold"))</x:f>
        <x:v>A / investigate</x:v>
      </x:c>
      <x:c r="O16" s="10" t="str">
        <x:f>IF(COUNTIF($B$7:B16,B16)&gt;1,"Review duplicate","Unique")</x:f>
        <x:v>Unique</x:v>
      </x:c>
      <x:c r="P16" s="10" t="str">
        <x:f>IF(O16="Review duplicate","Merge record",IF(J16="Research complete",IF(N16="A / investigate","Personalize discovery","Add to nurture"),"Verify source and role"))</x:f>
        <x:v>Verify source and role</x:v>
      </x:c>
      <x:c r="Q16" s="9" t="str">
        <x:v>Research queue</x:v>
      </x:c>
      <x:c r="R16" s="9" t="str">
        <x:v>Illustrative record; verify real sources before use</x:v>
      </x:c>
    </x:row>
    <x:row r="17" ht="22" customHeight="1">
      <x:c r="A17" s="8" t="str">
        <x:v>HB-011</x:v>
      </x:c>
      <x:c r="B17" s="8" t="str">
        <x:v>Pulse Grove Barber</x:v>
      </x:c>
      <x:c r="C17" s="8" t="str">
        <x:v>Barber</x:v>
      </x:c>
      <x:c r="D17" s="8" t="str">
        <x:v>Gqeberha</x:v>
      </x:c>
      <x:c r="E17" s="9" t="n">
        <x:v>3</x:v>
      </x:c>
      <x:c r="F17" s="9" t="n">
        <x:v>51</x:v>
      </x:c>
      <x:c r="G17" s="9" t="n">
        <x:v>1</x:v>
      </x:c>
      <x:c r="H17" s="9" t="n">
        <x:v>1</x:v>
      </x:c>
      <x:c r="I17" s="8" t="str">
        <x:v>Operations Manager</x:v>
      </x:c>
      <x:c r="J17" s="9" t="str">
        <x:v>Needs evidence</x:v>
      </x:c>
      <x:c r="K17" s="9" t="str">
        <x:v>Synthetic scenario</x:v>
      </x:c>
      <x:c r="L17" s="9" t="str">
        <x:v>role11@heliobook-demo.example</x:v>
      </x:c>
      <x:c r="M17" s="11" t="n">
        <x:f>ROUND(G17*5+H17*6+MIN(E17,5)*5+MIN(F17,50)*0.4,0)</x:f>
        <x:v>46</x:v>
      </x:c>
      <x:c r="N17" s="10" t="str">
        <x:f>IF(M17&gt;=75,"A / investigate",IF(M17&gt;=55,"B / nurture","C / hold"))</x:f>
        <x:v>C / hold</x:v>
      </x:c>
      <x:c r="O17" s="10" t="str">
        <x:f>IF(COUNTIF($B$7:B17,B17)&gt;1,"Review duplicate","Unique")</x:f>
        <x:v>Unique</x:v>
      </x:c>
      <x:c r="P17" s="10" t="str">
        <x:f>IF(O17="Review duplicate","Merge record",IF(J17="Research complete",IF(N17="A / investigate","Personalize discovery","Add to nurture"),"Verify source and role"))</x:f>
        <x:v>Verify source and role</x:v>
      </x:c>
      <x:c r="Q17" s="9" t="str">
        <x:v>Ana</x:v>
      </x:c>
      <x:c r="R17" s="9" t="str">
        <x:v>Illustrative record; verify real sources before use</x:v>
      </x:c>
    </x:row>
    <x:row r="18" ht="22" customHeight="1">
      <x:c r="A18" s="8" t="str">
        <x:v>HB-012</x:v>
      </x:c>
      <x:c r="B18" s="8" t="str">
        <x:v>Lime District Barber</x:v>
      </x:c>
      <x:c r="C18" s="8" t="str">
        <x:v>Barber</x:v>
      </x:c>
      <x:c r="D18" s="8" t="str">
        <x:v>Stellenbosch</x:v>
      </x:c>
      <x:c r="E18" s="9" t="n">
        <x:v>6</x:v>
      </x:c>
      <x:c r="F18" s="9" t="n">
        <x:v>62</x:v>
      </x:c>
      <x:c r="G18" s="9" t="n">
        <x:v>4</x:v>
      </x:c>
      <x:c r="H18" s="9" t="n">
        <x:v>3</x:v>
      </x:c>
      <x:c r="I18" s="8" t="str">
        <x:v>Marketing Lead</x:v>
      </x:c>
      <x:c r="J18" s="9" t="str">
        <x:v>Research complete</x:v>
      </x:c>
      <x:c r="K18" s="9" t="str">
        <x:v>Synthetic scenario</x:v>
      </x:c>
      <x:c r="L18" s="9" t="str">
        <x:v>role12@heliobook-demo.example</x:v>
      </x:c>
      <x:c r="M18" s="11" t="n">
        <x:f>ROUND(G18*5+H18*6+MIN(E18,5)*5+MIN(F18,50)*0.4,0)</x:f>
        <x:v>83</x:v>
      </x:c>
      <x:c r="N18" s="10" t="str">
        <x:f>IF(M18&gt;=75,"A / investigate",IF(M18&gt;=55,"B / nurture","C / hold"))</x:f>
        <x:v>A / investigate</x:v>
      </x:c>
      <x:c r="O18" s="10" t="str">
        <x:f>IF(COUNTIF($B$7:B18,B18)&gt;1,"Review duplicate","Unique")</x:f>
        <x:v>Unique</x:v>
      </x:c>
      <x:c r="P18" s="10" t="str">
        <x:f>IF(O18="Review duplicate","Merge record",IF(J18="Research complete",IF(N18="A / investigate","Personalize discovery","Add to nurture"),"Verify source and role"))</x:f>
        <x:v>Personalize discovery</x:v>
      </x:c>
      <x:c r="Q18" s="9" t="str">
        <x:v>Research queue</x:v>
      </x:c>
      <x:c r="R18" s="9" t="str">
        <x:v>Illustrative record; verify real sources before use</x:v>
      </x:c>
    </x:row>
    <x:row r="19" ht="22" customHeight="1">
      <x:c r="A19" s="8" t="str">
        <x:v>HB-013</x:v>
      </x:c>
      <x:c r="B19" s="8" t="str">
        <x:v>Copper Lane Wellness</x:v>
      </x:c>
      <x:c r="C19" s="8" t="str">
        <x:v>Wellness</x:v>
      </x:c>
      <x:c r="D19" s="8" t="str">
        <x:v>Johannesburg</x:v>
      </x:c>
      <x:c r="E19" s="9" t="n">
        <x:v>2</x:v>
      </x:c>
      <x:c r="F19" s="9" t="n">
        <x:v>10</x:v>
      </x:c>
      <x:c r="G19" s="9" t="n">
        <x:v>2</x:v>
      </x:c>
      <x:c r="H19" s="9" t="n">
        <x:v>5</x:v>
      </x:c>
      <x:c r="I19" s="8" t="str">
        <x:v>Owner</x:v>
      </x:c>
      <x:c r="J19" s="9" t="str">
        <x:v>Unresearched</x:v>
      </x:c>
      <x:c r="K19" s="9" t="str">
        <x:v>Synthetic scenario</x:v>
      </x:c>
      <x:c r="L19" s="9" t="str">
        <x:v>role13@heliobook-demo.example</x:v>
      </x:c>
      <x:c r="M19" s="11" t="n">
        <x:f>ROUND(G19*5+H19*6+MIN(E19,5)*5+MIN(F19,50)*0.4,0)</x:f>
        <x:v>54</x:v>
      </x:c>
      <x:c r="N19" s="10" t="str">
        <x:f>IF(M19&gt;=75,"A / investigate",IF(M19&gt;=55,"B / nurture","C / hold"))</x:f>
        <x:v>C / hold</x:v>
      </x:c>
      <x:c r="O19" s="10" t="str">
        <x:f>IF(COUNTIF($B$7:B19,B19)&gt;1,"Review duplicate","Unique")</x:f>
        <x:v>Unique</x:v>
      </x:c>
      <x:c r="P19" s="10" t="str">
        <x:f>IF(O19="Review duplicate","Merge record",IF(J19="Research complete",IF(N19="A / investigate","Personalize discovery","Add to nurture"),"Verify source and role"))</x:f>
        <x:v>Verify source and role</x:v>
      </x:c>
      <x:c r="Q19" s="9" t="str">
        <x:v>Ana</x:v>
      </x:c>
      <x:c r="R19" s="9" t="str">
        <x:v>Illustrative record; verify real sources before use</x:v>
      </x:c>
    </x:row>
    <x:row r="20" ht="22" customHeight="1">
      <x:c r="A20" s="8" t="str">
        <x:v>HB-014</x:v>
      </x:c>
      <x:c r="B20" s="8" t="str">
        <x:v>Bright Orchard Wellness</x:v>
      </x:c>
      <x:c r="C20" s="8" t="str">
        <x:v>Wellness</x:v>
      </x:c>
      <x:c r="D20" s="8" t="str">
        <x:v>Cape Town</x:v>
      </x:c>
      <x:c r="E20" s="9" t="n">
        <x:v>5</x:v>
      </x:c>
      <x:c r="F20" s="9" t="n">
        <x:v>21</x:v>
      </x:c>
      <x:c r="G20" s="9" t="n">
        <x:v>5</x:v>
      </x:c>
      <x:c r="H20" s="9" t="n">
        <x:v>2</x:v>
      </x:c>
      <x:c r="I20" s="8" t="str">
        <x:v>Operations Manager</x:v>
      </x:c>
      <x:c r="J20" s="9" t="str">
        <x:v>Needs evidence</x:v>
      </x:c>
      <x:c r="K20" s="9" t="str">
        <x:v>Synthetic scenario</x:v>
      </x:c>
      <x:c r="L20" s="9" t="str">
        <x:v>role14@heliobook-demo.example</x:v>
      </x:c>
      <x:c r="M20" s="11" t="n">
        <x:f>ROUND(G20*5+H20*6+MIN(E20,5)*5+MIN(F20,50)*0.4,0)</x:f>
        <x:v>70</x:v>
      </x:c>
      <x:c r="N20" s="10" t="str">
        <x:f>IF(M20&gt;=75,"A / investigate",IF(M20&gt;=55,"B / nurture","C / hold"))</x:f>
        <x:v>B / nurture</x:v>
      </x:c>
      <x:c r="O20" s="10" t="str">
        <x:f>IF(COUNTIF($B$7:B20,B20)&gt;1,"Review duplicate","Unique")</x:f>
        <x:v>Unique</x:v>
      </x:c>
      <x:c r="P20" s="10" t="str">
        <x:f>IF(O20="Review duplicate","Merge record",IF(J20="Research complete",IF(N20="A / investigate","Personalize discovery","Add to nurture"),"Verify source and role"))</x:f>
        <x:v>Verify source and role</x:v>
      </x:c>
      <x:c r="Q20" s="9" t="str">
        <x:v>Research queue</x:v>
      </x:c>
      <x:c r="R20" s="9" t="str">
        <x:v>Illustrative record; verify real sources before use</x:v>
      </x:c>
    </x:row>
    <x:row r="21" ht="22" customHeight="1">
      <x:c r="A21" s="8" t="str">
        <x:v>HB-015</x:v>
      </x:c>
      <x:c r="B21" s="8" t="str">
        <x:v>Sunset Studio Wellness</x:v>
      </x:c>
      <x:c r="C21" s="8" t="str">
        <x:v>Wellness</x:v>
      </x:c>
      <x:c r="D21" s="8" t="str">
        <x:v>Durban</x:v>
      </x:c>
      <x:c r="E21" s="9" t="n">
        <x:v>1</x:v>
      </x:c>
      <x:c r="F21" s="9" t="n">
        <x:v>32</x:v>
      </x:c>
      <x:c r="G21" s="9" t="n">
        <x:v>3</x:v>
      </x:c>
      <x:c r="H21" s="9" t="n">
        <x:v>4</x:v>
      </x:c>
      <x:c r="I21" s="8" t="str">
        <x:v>Marketing Lead</x:v>
      </x:c>
      <x:c r="J21" s="9" t="str">
        <x:v>Research complete</x:v>
      </x:c>
      <x:c r="K21" s="9" t="str">
        <x:v>Synthetic scenario</x:v>
      </x:c>
      <x:c r="L21" s="9" t="str">
        <x:v>role15@heliobook-demo.example</x:v>
      </x:c>
      <x:c r="M21" s="11" t="n">
        <x:f>ROUND(G21*5+H21*6+MIN(E21,5)*5+MIN(F21,50)*0.4,0)</x:f>
        <x:v>57</x:v>
      </x:c>
      <x:c r="N21" s="10" t="str">
        <x:f>IF(M21&gt;=75,"A / investigate",IF(M21&gt;=55,"B / nurture","C / hold"))</x:f>
        <x:v>B / nurture</x:v>
      </x:c>
      <x:c r="O21" s="10" t="str">
        <x:f>IF(COUNTIF($B$7:B21,B21)&gt;1,"Review duplicate","Unique")</x:f>
        <x:v>Unique</x:v>
      </x:c>
      <x:c r="P21" s="10" t="str">
        <x:f>IF(O21="Review duplicate","Merge record",IF(J21="Research complete",IF(N21="A / investigate","Personalize discovery","Add to nurture"),"Verify source and role"))</x:f>
        <x:v>Add to nurture</x:v>
      </x:c>
      <x:c r="Q21" s="9" t="str">
        <x:v>Ana</x:v>
      </x:c>
      <x:c r="R21" s="9" t="str">
        <x:v>Illustrative record; verify real sources before use</x:v>
      </x:c>
    </x:row>
    <x:row r="22" ht="22" customHeight="1">
      <x:c r="A22" s="8" t="str">
        <x:v>HB-016</x:v>
      </x:c>
      <x:c r="B22" s="8" t="str">
        <x:v>Blue Fern Wellness</x:v>
      </x:c>
      <x:c r="C22" s="8" t="str">
        <x:v>Wellness</x:v>
      </x:c>
      <x:c r="D22" s="8" t="str">
        <x:v>Pretoria</x:v>
      </x:c>
      <x:c r="E22" s="9" t="n">
        <x:v>4</x:v>
      </x:c>
      <x:c r="F22" s="9" t="n">
        <x:v>43</x:v>
      </x:c>
      <x:c r="G22" s="9" t="n">
        <x:v>1</x:v>
      </x:c>
      <x:c r="H22" s="9" t="n">
        <x:v>1</x:v>
      </x:c>
      <x:c r="I22" s="8" t="str">
        <x:v>Owner</x:v>
      </x:c>
      <x:c r="J22" s="9" t="str">
        <x:v>Unresearched</x:v>
      </x:c>
      <x:c r="K22" s="9" t="str">
        <x:v>Synthetic scenario</x:v>
      </x:c>
      <x:c r="L22" s="9" t="str">
        <x:v>role16@heliobook-demo.example</x:v>
      </x:c>
      <x:c r="M22" s="11" t="n">
        <x:f>ROUND(G22*5+H22*6+MIN(E22,5)*5+MIN(F22,50)*0.4,0)</x:f>
        <x:v>48</x:v>
      </x:c>
      <x:c r="N22" s="10" t="str">
        <x:f>IF(M22&gt;=75,"A / investigate",IF(M22&gt;=55,"B / nurture","C / hold"))</x:f>
        <x:v>C / hold</x:v>
      </x:c>
      <x:c r="O22" s="10" t="str">
        <x:f>IF(COUNTIF($B$7:B22,B22)&gt;1,"Review duplicate","Unique")</x:f>
        <x:v>Unique</x:v>
      </x:c>
      <x:c r="P22" s="10" t="str">
        <x:f>IF(O22="Review duplicate","Merge record",IF(J22="Research complete",IF(N22="A / investigate","Personalize discovery","Add to nurture"),"Verify source and role"))</x:f>
        <x:v>Verify source and role</x:v>
      </x:c>
      <x:c r="Q22" s="9" t="str">
        <x:v>Research queue</x:v>
      </x:c>
      <x:c r="R22" s="9" t="str">
        <x:v>Illustrative record; verify real sources before use</x:v>
      </x:c>
    </x:row>
    <x:row r="23" ht="22" customHeight="1">
      <x:c r="A23" s="8" t="str">
        <x:v>HB-017</x:v>
      </x:c>
      <x:c r="B23" s="8" t="str">
        <x:v>Harbor Circle Wellness</x:v>
      </x:c>
      <x:c r="C23" s="8" t="str">
        <x:v>Wellness</x:v>
      </x:c>
      <x:c r="D23" s="8" t="str">
        <x:v>Gqeberha</x:v>
      </x:c>
      <x:c r="E23" s="9" t="n">
        <x:v>7</x:v>
      </x:c>
      <x:c r="F23" s="9" t="n">
        <x:v>54</x:v>
      </x:c>
      <x:c r="G23" s="9" t="n">
        <x:v>4</x:v>
      </x:c>
      <x:c r="H23" s="9" t="n">
        <x:v>3</x:v>
      </x:c>
      <x:c r="I23" s="8" t="str">
        <x:v>Operations Manager</x:v>
      </x:c>
      <x:c r="J23" s="9" t="str">
        <x:v>Needs evidence</x:v>
      </x:c>
      <x:c r="K23" s="9" t="str">
        <x:v>Synthetic scenario</x:v>
      </x:c>
      <x:c r="L23" s="9" t="str">
        <x:v>role17@heliobook-demo.example</x:v>
      </x:c>
      <x:c r="M23" s="11" t="n">
        <x:f>ROUND(G23*5+H23*6+MIN(E23,5)*5+MIN(F23,50)*0.4,0)</x:f>
        <x:v>83</x:v>
      </x:c>
      <x:c r="N23" s="10" t="str">
        <x:f>IF(M23&gt;=75,"A / investigate",IF(M23&gt;=55,"B / nurture","C / hold"))</x:f>
        <x:v>A / investigate</x:v>
      </x:c>
      <x:c r="O23" s="10" t="str">
        <x:f>IF(COUNTIF($B$7:B23,B23)&gt;1,"Review duplicate","Unique")</x:f>
        <x:v>Unique</x:v>
      </x:c>
      <x:c r="P23" s="10" t="str">
        <x:f>IF(O23="Review duplicate","Merge record",IF(J23="Research complete",IF(N23="A / investigate","Personalize discovery","Add to nurture"),"Verify source and role"))</x:f>
        <x:v>Verify source and role</x:v>
      </x:c>
      <x:c r="Q23" s="9" t="str">
        <x:v>Ana</x:v>
      </x:c>
      <x:c r="R23" s="9" t="str">
        <x:v>Illustrative record; verify real sources before use</x:v>
      </x:c>
    </x:row>
    <x:row r="24" ht="22" customHeight="1">
      <x:c r="A24" s="8" t="str">
        <x:v>HB-018</x:v>
      </x:c>
      <x:c r="B24" s="8" t="str">
        <x:v>Golden Route Wellness</x:v>
      </x:c>
      <x:c r="C24" s="8" t="str">
        <x:v>Wellness</x:v>
      </x:c>
      <x:c r="D24" s="8" t="str">
        <x:v>Stellenbosch</x:v>
      </x:c>
      <x:c r="E24" s="9" t="n">
        <x:v>3</x:v>
      </x:c>
      <x:c r="F24" s="9" t="n">
        <x:v>65</x:v>
      </x:c>
      <x:c r="G24" s="9" t="n">
        <x:v>2</x:v>
      </x:c>
      <x:c r="H24" s="9" t="n">
        <x:v>5</x:v>
      </x:c>
      <x:c r="I24" s="8" t="str">
        <x:v>Marketing Lead</x:v>
      </x:c>
      <x:c r="J24" s="9" t="str">
        <x:v>Research complete</x:v>
      </x:c>
      <x:c r="K24" s="9" t="str">
        <x:v>Synthetic scenario</x:v>
      </x:c>
      <x:c r="L24" s="9" t="str">
        <x:v>role18@heliobook-demo.example</x:v>
      </x:c>
      <x:c r="M24" s="11" t="n">
        <x:f>ROUND(G24*5+H24*6+MIN(E24,5)*5+MIN(F24,50)*0.4,0)</x:f>
        <x:v>75</x:v>
      </x:c>
      <x:c r="N24" s="10" t="str">
        <x:f>IF(M24&gt;=75,"A / investigate",IF(M24&gt;=55,"B / nurture","C / hold"))</x:f>
        <x:v>A / investigate</x:v>
      </x:c>
      <x:c r="O24" s="10" t="str">
        <x:f>IF(COUNTIF($B$7:B24,B24)&gt;1,"Review duplicate","Unique")</x:f>
        <x:v>Unique</x:v>
      </x:c>
      <x:c r="P24" s="10" t="str">
        <x:f>IF(O24="Review duplicate","Merge record",IF(J24="Research complete",IF(N24="A / investigate","Personalize discovery","Add to nurture"),"Verify source and role"))</x:f>
        <x:v>Personalize discovery</x:v>
      </x:c>
      <x:c r="Q24" s="9" t="str">
        <x:v>Research queue</x:v>
      </x:c>
      <x:c r="R24" s="9" t="str">
        <x:v>Illustrative record; verify real sources before use</x:v>
      </x:c>
    </x:row>
    <x:row r="25" ht="22" customHeight="1">
      <x:c r="A25" s="8" t="str">
        <x:v>HB-019</x:v>
      </x:c>
      <x:c r="B25" s="8" t="str">
        <x:v>Ivory House Therapy</x:v>
      </x:c>
      <x:c r="C25" s="8" t="str">
        <x:v>Therapy</x:v>
      </x:c>
      <x:c r="D25" s="8" t="str">
        <x:v>Johannesburg</x:v>
      </x:c>
      <x:c r="E25" s="9" t="n">
        <x:v>6</x:v>
      </x:c>
      <x:c r="F25" s="9" t="n">
        <x:v>13</x:v>
      </x:c>
      <x:c r="G25" s="9" t="n">
        <x:v>5</x:v>
      </x:c>
      <x:c r="H25" s="9" t="n">
        <x:v>2</x:v>
      </x:c>
      <x:c r="I25" s="8" t="str">
        <x:v>Owner</x:v>
      </x:c>
      <x:c r="J25" s="9" t="str">
        <x:v>Unresearched</x:v>
      </x:c>
      <x:c r="K25" s="9" t="str">
        <x:v>Synthetic scenario</x:v>
      </x:c>
      <x:c r="L25" s="9" t="str">
        <x:v>role19@heliobook-demo.example</x:v>
      </x:c>
      <x:c r="M25" s="11" t="n">
        <x:f>ROUND(G25*5+H25*6+MIN(E25,5)*5+MIN(F25,50)*0.4,0)</x:f>
        <x:v>67</x:v>
      </x:c>
      <x:c r="N25" s="10" t="str">
        <x:f>IF(M25&gt;=75,"A / investigate",IF(M25&gt;=55,"B / nurture","C / hold"))</x:f>
        <x:v>B / nurture</x:v>
      </x:c>
      <x:c r="O25" s="10" t="str">
        <x:f>IF(COUNTIF($B$7:B25,B25)&gt;1,"Review duplicate","Unique")</x:f>
        <x:v>Unique</x:v>
      </x:c>
      <x:c r="P25" s="10" t="str">
        <x:f>IF(O25="Review duplicate","Merge record",IF(J25="Research complete",IF(N25="A / investigate","Personalize discovery","Add to nurture"),"Verify source and role"))</x:f>
        <x:v>Verify source and role</x:v>
      </x:c>
      <x:c r="Q25" s="9" t="str">
        <x:v>Ana</x:v>
      </x:c>
      <x:c r="R25" s="9" t="str">
        <x:v>Illustrative record; verify real sources before use</x:v>
      </x:c>
    </x:row>
    <x:row r="26" ht="22" customHeight="1">
      <x:c r="A26" s="8" t="str">
        <x:v>HB-020</x:v>
      </x:c>
      <x:c r="B26" s="8" t="str">
        <x:v>Mosaic North Therapy</x:v>
      </x:c>
      <x:c r="C26" s="8" t="str">
        <x:v>Therapy</x:v>
      </x:c>
      <x:c r="D26" s="8" t="str">
        <x:v>Cape Town</x:v>
      </x:c>
      <x:c r="E26" s="9" t="n">
        <x:v>2</x:v>
      </x:c>
      <x:c r="F26" s="9" t="n">
        <x:v>24</x:v>
      </x:c>
      <x:c r="G26" s="9" t="n">
        <x:v>3</x:v>
      </x:c>
      <x:c r="H26" s="9" t="n">
        <x:v>4</x:v>
      </x:c>
      <x:c r="I26" s="8" t="str">
        <x:v>Operations Manager</x:v>
      </x:c>
      <x:c r="J26" s="9" t="str">
        <x:v>Needs evidence</x:v>
      </x:c>
      <x:c r="K26" s="9" t="str">
        <x:v>Synthetic scenario</x:v>
      </x:c>
      <x:c r="L26" s="9" t="str">
        <x:v>role20@heliobook-demo.example</x:v>
      </x:c>
      <x:c r="M26" s="11" t="n">
        <x:f>ROUND(G26*5+H26*6+MIN(E26,5)*5+MIN(F26,50)*0.4,0)</x:f>
        <x:v>59</x:v>
      </x:c>
      <x:c r="N26" s="10" t="str">
        <x:f>IF(M26&gt;=75,"A / investigate",IF(M26&gt;=55,"B / nurture","C / hold"))</x:f>
        <x:v>B / nurture</x:v>
      </x:c>
      <x:c r="O26" s="10" t="str">
        <x:f>IF(COUNTIF($B$7:B26,B26)&gt;1,"Review duplicate","Unique")</x:f>
        <x:v>Unique</x:v>
      </x:c>
      <x:c r="P26" s="10" t="str">
        <x:f>IF(O26="Review duplicate","Merge record",IF(J26="Research complete",IF(N26="A / investigate","Personalize discovery","Add to nurture"),"Verify source and role"))</x:f>
        <x:v>Verify source and role</x:v>
      </x:c>
      <x:c r="Q26" s="9" t="str">
        <x:v>Research queue</x:v>
      </x:c>
      <x:c r="R26" s="9" t="str">
        <x:v>Illustrative record; verify real sources before use</x:v>
      </x:c>
    </x:row>
    <x:row r="27" ht="22" customHeight="1">
      <x:c r="A27" s="8" t="str">
        <x:v>HB-021</x:v>
      </x:c>
      <x:c r="B27" s="8" t="str">
        <x:v>Sable Point Therapy</x:v>
      </x:c>
      <x:c r="C27" s="8" t="str">
        <x:v>Therapy</x:v>
      </x:c>
      <x:c r="D27" s="8" t="str">
        <x:v>Durban</x:v>
      </x:c>
      <x:c r="E27" s="9" t="n">
        <x:v>5</x:v>
      </x:c>
      <x:c r="F27" s="9" t="n">
        <x:v>35</x:v>
      </x:c>
      <x:c r="G27" s="9" t="n">
        <x:v>1</x:v>
      </x:c>
      <x:c r="H27" s="9" t="n">
        <x:v>1</x:v>
      </x:c>
      <x:c r="I27" s="8" t="str">
        <x:v>Marketing Lead</x:v>
      </x:c>
      <x:c r="J27" s="9" t="str">
        <x:v>Research complete</x:v>
      </x:c>
      <x:c r="K27" s="9" t="str">
        <x:v>Synthetic scenario</x:v>
      </x:c>
      <x:c r="L27" s="9" t="str">
        <x:v>role21@heliobook-demo.example</x:v>
      </x:c>
      <x:c r="M27" s="11" t="n">
        <x:f>ROUND(G27*5+H27*6+MIN(E27,5)*5+MIN(F27,50)*0.4,0)</x:f>
        <x:v>50</x:v>
      </x:c>
      <x:c r="N27" s="10" t="str">
        <x:f>IF(M27&gt;=75,"A / investigate",IF(M27&gt;=55,"B / nurture","C / hold"))</x:f>
        <x:v>C / hold</x:v>
      </x:c>
      <x:c r="O27" s="10" t="str">
        <x:f>IF(COUNTIF($B$7:B27,B27)&gt;1,"Review duplicate","Unique")</x:f>
        <x:v>Unique</x:v>
      </x:c>
      <x:c r="P27" s="10" t="str">
        <x:f>IF(O27="Review duplicate","Merge record",IF(J27="Research complete",IF(N27="A / investigate","Personalize discovery","Add to nurture"),"Verify source and role"))</x:f>
        <x:v>Add to nurture</x:v>
      </x:c>
      <x:c r="Q27" s="9" t="str">
        <x:v>Ana</x:v>
      </x:c>
      <x:c r="R27" s="9" t="str">
        <x:v>Illustrative record; verify real sources before use</x:v>
      </x:c>
    </x:row>
    <x:row r="28" ht="22" customHeight="1">
      <x:c r="A28" s="8" t="str">
        <x:v>HB-022</x:v>
      </x:c>
      <x:c r="B28" s="8" t="str">
        <x:v>Cedar Bloom Therapy</x:v>
      </x:c>
      <x:c r="C28" s="8" t="str">
        <x:v>Therapy</x:v>
      </x:c>
      <x:c r="D28" s="8" t="str">
        <x:v>Pretoria</x:v>
      </x:c>
      <x:c r="E28" s="9" t="n">
        <x:v>1</x:v>
      </x:c>
      <x:c r="F28" s="9" t="n">
        <x:v>46</x:v>
      </x:c>
      <x:c r="G28" s="9" t="n">
        <x:v>4</x:v>
      </x:c>
      <x:c r="H28" s="9" t="n">
        <x:v>3</x:v>
      </x:c>
      <x:c r="I28" s="8" t="str">
        <x:v>Owner</x:v>
      </x:c>
      <x:c r="J28" s="9" t="str">
        <x:v>Unresearched</x:v>
      </x:c>
      <x:c r="K28" s="9" t="str">
        <x:v>Synthetic scenario</x:v>
      </x:c>
      <x:c r="L28" s="9" t="str">
        <x:v>role22@heliobook-demo.example</x:v>
      </x:c>
      <x:c r="M28" s="11" t="n">
        <x:f>ROUND(G28*5+H28*6+MIN(E28,5)*5+MIN(F28,50)*0.4,0)</x:f>
        <x:v>61</x:v>
      </x:c>
      <x:c r="N28" s="10" t="str">
        <x:f>IF(M28&gt;=75,"A / investigate",IF(M28&gt;=55,"B / nurture","C / hold"))</x:f>
        <x:v>B / nurture</x:v>
      </x:c>
      <x:c r="O28" s="10" t="str">
        <x:f>IF(COUNTIF($B$7:B28,B28)&gt;1,"Review duplicate","Unique")</x:f>
        <x:v>Unique</x:v>
      </x:c>
      <x:c r="P28" s="10" t="str">
        <x:f>IF(O28="Review duplicate","Merge record",IF(J28="Research complete",IF(N28="A / investigate","Personalize discovery","Add to nurture"),"Verify source and role"))</x:f>
        <x:v>Verify source and role</x:v>
      </x:c>
      <x:c r="Q28" s="9" t="str">
        <x:v>Research queue</x:v>
      </x:c>
      <x:c r="R28" s="9" t="str">
        <x:v>Illustrative record; verify real sources before use</x:v>
      </x:c>
    </x:row>
    <x:row r="29" ht="22" customHeight="1">
      <x:c r="A29" s="8" t="str">
        <x:v>HB-023</x:v>
      </x:c>
      <x:c r="B29" s="8" t="str">
        <x:v>Pulse Grove Therapy</x:v>
      </x:c>
      <x:c r="C29" s="8" t="str">
        <x:v>Therapy</x:v>
      </x:c>
      <x:c r="D29" s="8" t="str">
        <x:v>Gqeberha</x:v>
      </x:c>
      <x:c r="E29" s="9" t="n">
        <x:v>4</x:v>
      </x:c>
      <x:c r="F29" s="9" t="n">
        <x:v>57</x:v>
      </x:c>
      <x:c r="G29" s="9" t="n">
        <x:v>2</x:v>
      </x:c>
      <x:c r="H29" s="9" t="n">
        <x:v>5</x:v>
      </x:c>
      <x:c r="I29" s="8" t="str">
        <x:v>Operations Manager</x:v>
      </x:c>
      <x:c r="J29" s="9" t="str">
        <x:v>Needs evidence</x:v>
      </x:c>
      <x:c r="K29" s="9" t="str">
        <x:v>Synthetic scenario</x:v>
      </x:c>
      <x:c r="L29" s="9" t="str">
        <x:v>role23@heliobook-demo.example</x:v>
      </x:c>
      <x:c r="M29" s="11" t="n">
        <x:f>ROUND(G29*5+H29*6+MIN(E29,5)*5+MIN(F29,50)*0.4,0)</x:f>
        <x:v>80</x:v>
      </x:c>
      <x:c r="N29" s="10" t="str">
        <x:f>IF(M29&gt;=75,"A / investigate",IF(M29&gt;=55,"B / nurture","C / hold"))</x:f>
        <x:v>A / investigate</x:v>
      </x:c>
      <x:c r="O29" s="10" t="str">
        <x:f>IF(COUNTIF($B$7:B29,B29)&gt;1,"Review duplicate","Unique")</x:f>
        <x:v>Unique</x:v>
      </x:c>
      <x:c r="P29" s="10" t="str">
        <x:f>IF(O29="Review duplicate","Merge record",IF(J29="Research complete",IF(N29="A / investigate","Personalize discovery","Add to nurture"),"Verify source and role"))</x:f>
        <x:v>Verify source and role</x:v>
      </x:c>
      <x:c r="Q29" s="9" t="str">
        <x:v>Ana</x:v>
      </x:c>
      <x:c r="R29" s="9" t="str">
        <x:v>Illustrative record; verify real sources before use</x:v>
      </x:c>
    </x:row>
    <x:row r="30" ht="22" customHeight="1">
      <x:c r="A30" s="8" t="str">
        <x:v>HB-024</x:v>
      </x:c>
      <x:c r="B30" s="8" t="str">
        <x:v>Lime District Therapy</x:v>
      </x:c>
      <x:c r="C30" s="8" t="str">
        <x:v>Therapy</x:v>
      </x:c>
      <x:c r="D30" s="8" t="str">
        <x:v>Stellenbosch</x:v>
      </x:c>
      <x:c r="E30" s="9" t="n">
        <x:v>7</x:v>
      </x:c>
      <x:c r="F30" s="9" t="n">
        <x:v>5</x:v>
      </x:c>
      <x:c r="G30" s="9" t="n">
        <x:v>5</x:v>
      </x:c>
      <x:c r="H30" s="9" t="n">
        <x:v>2</x:v>
      </x:c>
      <x:c r="I30" s="8" t="str">
        <x:v>Marketing Lead</x:v>
      </x:c>
      <x:c r="J30" s="9" t="str">
        <x:v>Research complete</x:v>
      </x:c>
      <x:c r="K30" s="9" t="str">
        <x:v>Synthetic scenario</x:v>
      </x:c>
      <x:c r="L30" s="9" t="str">
        <x:v>role24@heliobook-demo.example</x:v>
      </x:c>
      <x:c r="M30" s="11" t="n">
        <x:f>ROUND(G30*5+H30*6+MIN(E30,5)*5+MIN(F30,50)*0.4,0)</x:f>
        <x:v>64</x:v>
      </x:c>
      <x:c r="N30" s="10" t="str">
        <x:f>IF(M30&gt;=75,"A / investigate",IF(M30&gt;=55,"B / nurture","C / hold"))</x:f>
        <x:v>B / nurture</x:v>
      </x:c>
      <x:c r="O30" s="10" t="str">
        <x:f>IF(COUNTIF($B$7:B30,B30)&gt;1,"Review duplicate","Unique")</x:f>
        <x:v>Unique</x:v>
      </x:c>
      <x:c r="P30" s="10" t="str">
        <x:f>IF(O30="Review duplicate","Merge record",IF(J30="Research complete",IF(N30="A / investigate","Personalize discovery","Add to nurture"),"Verify source and role"))</x:f>
        <x:v>Add to nurture</x:v>
      </x:c>
      <x:c r="Q30" s="9" t="str">
        <x:v>Research queue</x:v>
      </x:c>
      <x:c r="R30" s="9" t="str">
        <x:v>Illustrative record; verify real sources before use</x:v>
      </x:c>
    </x:row>
    <x:row r="31" ht="22" customHeight="1">
      <x:c r="A31" s="8" t="str">
        <x:v>HB-025</x:v>
      </x:c>
      <x:c r="B31" s="8" t="str">
        <x:v>Copper Lane Tattoo</x:v>
      </x:c>
      <x:c r="C31" s="8" t="str">
        <x:v>Tattoo</x:v>
      </x:c>
      <x:c r="D31" s="8" t="str">
        <x:v>Johannesburg</x:v>
      </x:c>
      <x:c r="E31" s="9" t="n">
        <x:v>3</x:v>
      </x:c>
      <x:c r="F31" s="9" t="n">
        <x:v>16</x:v>
      </x:c>
      <x:c r="G31" s="9" t="n">
        <x:v>3</x:v>
      </x:c>
      <x:c r="H31" s="9" t="n">
        <x:v>4</x:v>
      </x:c>
      <x:c r="I31" s="8" t="str">
        <x:v>Owner</x:v>
      </x:c>
      <x:c r="J31" s="9" t="str">
        <x:v>Unresearched</x:v>
      </x:c>
      <x:c r="K31" s="9" t="str">
        <x:v>Synthetic scenario</x:v>
      </x:c>
      <x:c r="L31" s="9" t="str">
        <x:v>role25@heliobook-demo.example</x:v>
      </x:c>
      <x:c r="M31" s="11" t="n">
        <x:f>ROUND(G31*5+H31*6+MIN(E31,5)*5+MIN(F31,50)*0.4,0)</x:f>
        <x:v>60</x:v>
      </x:c>
      <x:c r="N31" s="10" t="str">
        <x:f>IF(M31&gt;=75,"A / investigate",IF(M31&gt;=55,"B / nurture","C / hold"))</x:f>
        <x:v>B / nurture</x:v>
      </x:c>
      <x:c r="O31" s="10" t="str">
        <x:f>IF(COUNTIF($B$7:B31,B31)&gt;1,"Review duplicate","Unique")</x:f>
        <x:v>Unique</x:v>
      </x:c>
      <x:c r="P31" s="10" t="str">
        <x:f>IF(O31="Review duplicate","Merge record",IF(J31="Research complete",IF(N31="A / investigate","Personalize discovery","Add to nurture"),"Verify source and role"))</x:f>
        <x:v>Verify source and role</x:v>
      </x:c>
      <x:c r="Q31" s="9" t="str">
        <x:v>Ana</x:v>
      </x:c>
      <x:c r="R31" s="9" t="str">
        <x:v>Illustrative record; verify real sources before use</x:v>
      </x:c>
    </x:row>
    <x:row r="32" ht="22" customHeight="1">
      <x:c r="A32" s="8" t="str">
        <x:v>HB-026</x:v>
      </x:c>
      <x:c r="B32" s="8" t="str">
        <x:v>Bright Orchard Tattoo</x:v>
      </x:c>
      <x:c r="C32" s="8" t="str">
        <x:v>Tattoo</x:v>
      </x:c>
      <x:c r="D32" s="8" t="str">
        <x:v>Cape Town</x:v>
      </x:c>
      <x:c r="E32" s="9" t="n">
        <x:v>6</x:v>
      </x:c>
      <x:c r="F32" s="9" t="n">
        <x:v>27</x:v>
      </x:c>
      <x:c r="G32" s="9" t="n">
        <x:v>1</x:v>
      </x:c>
      <x:c r="H32" s="9" t="n">
        <x:v>1</x:v>
      </x:c>
      <x:c r="I32" s="8" t="str">
        <x:v>Operations Manager</x:v>
      </x:c>
      <x:c r="J32" s="9" t="str">
        <x:v>Needs evidence</x:v>
      </x:c>
      <x:c r="K32" s="9" t="str">
        <x:v>Synthetic scenario</x:v>
      </x:c>
      <x:c r="L32" s="9" t="str">
        <x:v>role26@heliobook-demo.example</x:v>
      </x:c>
      <x:c r="M32" s="11" t="n">
        <x:f>ROUND(G32*5+H32*6+MIN(E32,5)*5+MIN(F32,50)*0.4,0)</x:f>
        <x:v>47</x:v>
      </x:c>
      <x:c r="N32" s="10" t="str">
        <x:f>IF(M32&gt;=75,"A / investigate",IF(M32&gt;=55,"B / nurture","C / hold"))</x:f>
        <x:v>C / hold</x:v>
      </x:c>
      <x:c r="O32" s="10" t="str">
        <x:f>IF(COUNTIF($B$7:B32,B32)&gt;1,"Review duplicate","Unique")</x:f>
        <x:v>Unique</x:v>
      </x:c>
      <x:c r="P32" s="10" t="str">
        <x:f>IF(O32="Review duplicate","Merge record",IF(J32="Research complete",IF(N32="A / investigate","Personalize discovery","Add to nurture"),"Verify source and role"))</x:f>
        <x:v>Verify source and role</x:v>
      </x:c>
      <x:c r="Q32" s="9" t="str">
        <x:v>Research queue</x:v>
      </x:c>
      <x:c r="R32" s="9" t="str">
        <x:v>Illustrative record; verify real sources before use</x:v>
      </x:c>
    </x:row>
    <x:row r="33" ht="22" customHeight="1">
      <x:c r="A33" s="8" t="str">
        <x:v>HB-027</x:v>
      </x:c>
      <x:c r="B33" s="8" t="str">
        <x:v>Sunset Studio Tattoo</x:v>
      </x:c>
      <x:c r="C33" s="8" t="str">
        <x:v>Tattoo</x:v>
      </x:c>
      <x:c r="D33" s="8" t="str">
        <x:v>Durban</x:v>
      </x:c>
      <x:c r="E33" s="9" t="n">
        <x:v>2</x:v>
      </x:c>
      <x:c r="F33" s="9" t="n">
        <x:v>38</x:v>
      </x:c>
      <x:c r="G33" s="9" t="n">
        <x:v>4</x:v>
      </x:c>
      <x:c r="H33" s="9" t="n">
        <x:v>3</x:v>
      </x:c>
      <x:c r="I33" s="8" t="str">
        <x:v>Marketing Lead</x:v>
      </x:c>
      <x:c r="J33" s="9" t="str">
        <x:v>Research complete</x:v>
      </x:c>
      <x:c r="K33" s="9" t="str">
        <x:v>Synthetic scenario</x:v>
      </x:c>
      <x:c r="L33" s="9" t="str">
        <x:v>role27@heliobook-demo.example</x:v>
      </x:c>
      <x:c r="M33" s="11" t="n">
        <x:f>ROUND(G33*5+H33*6+MIN(E33,5)*5+MIN(F33,50)*0.4,0)</x:f>
        <x:v>63</x:v>
      </x:c>
      <x:c r="N33" s="10" t="str">
        <x:f>IF(M33&gt;=75,"A / investigate",IF(M33&gt;=55,"B / nurture","C / hold"))</x:f>
        <x:v>B / nurture</x:v>
      </x:c>
      <x:c r="O33" s="10" t="str">
        <x:f>IF(COUNTIF($B$7:B33,B33)&gt;1,"Review duplicate","Unique")</x:f>
        <x:v>Unique</x:v>
      </x:c>
      <x:c r="P33" s="10" t="str">
        <x:f>IF(O33="Review duplicate","Merge record",IF(J33="Research complete",IF(N33="A / investigate","Personalize discovery","Add to nurture"),"Verify source and role"))</x:f>
        <x:v>Add to nurture</x:v>
      </x:c>
      <x:c r="Q33" s="9" t="str">
        <x:v>Ana</x:v>
      </x:c>
      <x:c r="R33" s="9" t="str">
        <x:v>Illustrative record; verify real sources before use</x:v>
      </x:c>
    </x:row>
    <x:row r="34" ht="22" customHeight="1">
      <x:c r="A34" s="8" t="str">
        <x:v>HB-028</x:v>
      </x:c>
      <x:c r="B34" s="8" t="str">
        <x:v>Blue Fern Tattoo</x:v>
      </x:c>
      <x:c r="C34" s="8" t="str">
        <x:v>Tattoo</x:v>
      </x:c>
      <x:c r="D34" s="8" t="str">
        <x:v>Pretoria</x:v>
      </x:c>
      <x:c r="E34" s="9" t="n">
        <x:v>5</x:v>
      </x:c>
      <x:c r="F34" s="9" t="n">
        <x:v>49</x:v>
      </x:c>
      <x:c r="G34" s="9" t="n">
        <x:v>2</x:v>
      </x:c>
      <x:c r="H34" s="9" t="n">
        <x:v>5</x:v>
      </x:c>
      <x:c r="I34" s="8" t="str">
        <x:v>Owner</x:v>
      </x:c>
      <x:c r="J34" s="9" t="str">
        <x:v>Unresearched</x:v>
      </x:c>
      <x:c r="K34" s="9" t="str">
        <x:v>Synthetic scenario</x:v>
      </x:c>
      <x:c r="L34" s="9" t="str">
        <x:v>role28@heliobook-demo.example</x:v>
      </x:c>
      <x:c r="M34" s="11" t="n">
        <x:f>ROUND(G34*5+H34*6+MIN(E34,5)*5+MIN(F34,50)*0.4,0)</x:f>
        <x:v>85</x:v>
      </x:c>
      <x:c r="N34" s="10" t="str">
        <x:f>IF(M34&gt;=75,"A / investigate",IF(M34&gt;=55,"B / nurture","C / hold"))</x:f>
        <x:v>A / investigate</x:v>
      </x:c>
      <x:c r="O34" s="10" t="str">
        <x:f>IF(COUNTIF($B$7:B34,B34)&gt;1,"Review duplicate","Unique")</x:f>
        <x:v>Unique</x:v>
      </x:c>
      <x:c r="P34" s="10" t="str">
        <x:f>IF(O34="Review duplicate","Merge record",IF(J34="Research complete",IF(N34="A / investigate","Personalize discovery","Add to nurture"),"Verify source and role"))</x:f>
        <x:v>Verify source and role</x:v>
      </x:c>
      <x:c r="Q34" s="9" t="str">
        <x:v>Research queue</x:v>
      </x:c>
      <x:c r="R34" s="9" t="str">
        <x:v>Illustrative record; verify real sources before use</x:v>
      </x:c>
    </x:row>
    <x:row r="35" ht="22" customHeight="1">
      <x:c r="A35" s="8" t="str">
        <x:v>HB-029</x:v>
      </x:c>
      <x:c r="B35" s="8" t="str">
        <x:v>Harbor Circle Tattoo</x:v>
      </x:c>
      <x:c r="C35" s="8" t="str">
        <x:v>Tattoo</x:v>
      </x:c>
      <x:c r="D35" s="8" t="str">
        <x:v>Gqeberha</x:v>
      </x:c>
      <x:c r="E35" s="9" t="n">
        <x:v>1</x:v>
      </x:c>
      <x:c r="F35" s="9" t="n">
        <x:v>60</x:v>
      </x:c>
      <x:c r="G35" s="9" t="n">
        <x:v>5</x:v>
      </x:c>
      <x:c r="H35" s="9" t="n">
        <x:v>2</x:v>
      </x:c>
      <x:c r="I35" s="8" t="str">
        <x:v>Operations Manager</x:v>
      </x:c>
      <x:c r="J35" s="9" t="str">
        <x:v>Needs evidence</x:v>
      </x:c>
      <x:c r="K35" s="9" t="str">
        <x:v>Synthetic scenario</x:v>
      </x:c>
      <x:c r="L35" s="9" t="str">
        <x:v>role29@heliobook-demo.example</x:v>
      </x:c>
      <x:c r="M35" s="11" t="n">
        <x:f>ROUND(G35*5+H35*6+MIN(E35,5)*5+MIN(F35,50)*0.4,0)</x:f>
        <x:v>62</x:v>
      </x:c>
      <x:c r="N35" s="10" t="str">
        <x:f>IF(M35&gt;=75,"A / investigate",IF(M35&gt;=55,"B / nurture","C / hold"))</x:f>
        <x:v>B / nurture</x:v>
      </x:c>
      <x:c r="O35" s="10" t="str">
        <x:f>IF(COUNTIF($B$7:B35,B35)&gt;1,"Review duplicate","Unique")</x:f>
        <x:v>Unique</x:v>
      </x:c>
      <x:c r="P35" s="10" t="str">
        <x:f>IF(O35="Review duplicate","Merge record",IF(J35="Research complete",IF(N35="A / investigate","Personalize discovery","Add to nurture"),"Verify source and role"))</x:f>
        <x:v>Verify source and role</x:v>
      </x:c>
      <x:c r="Q35" s="9" t="str">
        <x:v>Ana</x:v>
      </x:c>
      <x:c r="R35" s="9" t="str">
        <x:v>Illustrative record; verify real sources before use</x:v>
      </x:c>
    </x:row>
    <x:row r="36" ht="22" customHeight="1">
      <x:c r="A36" s="8" t="str">
        <x:v>HB-030</x:v>
      </x:c>
      <x:c r="B36" s="8" t="str">
        <x:v>Golden Route Tattoo</x:v>
      </x:c>
      <x:c r="C36" s="8" t="str">
        <x:v>Tattoo</x:v>
      </x:c>
      <x:c r="D36" s="8" t="str">
        <x:v>Stellenbosch</x:v>
      </x:c>
      <x:c r="E36" s="9" t="n">
        <x:v>4</x:v>
      </x:c>
      <x:c r="F36" s="9" t="n">
        <x:v>8</x:v>
      </x:c>
      <x:c r="G36" s="9" t="n">
        <x:v>3</x:v>
      </x:c>
      <x:c r="H36" s="9" t="n">
        <x:v>4</x:v>
      </x:c>
      <x:c r="I36" s="8" t="str">
        <x:v>Marketing Lead</x:v>
      </x:c>
      <x:c r="J36" s="9" t="str">
        <x:v>Research complete</x:v>
      </x:c>
      <x:c r="K36" s="9" t="str">
        <x:v>Synthetic scenario</x:v>
      </x:c>
      <x:c r="L36" s="9" t="str">
        <x:v>role30@heliobook-demo.example</x:v>
      </x:c>
      <x:c r="M36" s="11" t="n">
        <x:f>ROUND(G36*5+H36*6+MIN(E36,5)*5+MIN(F36,50)*0.4,0)</x:f>
        <x:v>62</x:v>
      </x:c>
      <x:c r="N36" s="10" t="str">
        <x:f>IF(M36&gt;=75,"A / investigate",IF(M36&gt;=55,"B / nurture","C / hold"))</x:f>
        <x:v>B / nurture</x:v>
      </x:c>
      <x:c r="O36" s="10" t="str">
        <x:f>IF(COUNTIF($B$7:B36,B36)&gt;1,"Review duplicate","Unique")</x:f>
        <x:v>Unique</x:v>
      </x:c>
      <x:c r="P36" s="10" t="str">
        <x:f>IF(O36="Review duplicate","Merge record",IF(J36="Research complete",IF(N36="A / investigate","Personalize discovery","Add to nurture"),"Verify source and role"))</x:f>
        <x:v>Add to nurture</x:v>
      </x:c>
      <x:c r="Q36" s="9" t="str">
        <x:v>Research queue</x:v>
      </x:c>
      <x:c r="R36" s="9" t="str">
        <x:v>Illustrative record; verify real sources before use</x:v>
      </x:c>
    </x:row>
    <x:row r="37" ht="22" customHeight="1">
      <x:c r="A37" s="8" t="str">
        <x:v>HB-031</x:v>
      </x:c>
      <x:c r="B37" s="8" t="str">
        <x:v>Ivory House Fitness</x:v>
      </x:c>
      <x:c r="C37" s="8" t="str">
        <x:v>Fitness</x:v>
      </x:c>
      <x:c r="D37" s="8" t="str">
        <x:v>Johannesburg</x:v>
      </x:c>
      <x:c r="E37" s="9" t="n">
        <x:v>7</x:v>
      </x:c>
      <x:c r="F37" s="9" t="n">
        <x:v>19</x:v>
      </x:c>
      <x:c r="G37" s="9" t="n">
        <x:v>1</x:v>
      </x:c>
      <x:c r="H37" s="9" t="n">
        <x:v>1</x:v>
      </x:c>
      <x:c r="I37" s="8" t="str">
        <x:v>Owner</x:v>
      </x:c>
      <x:c r="J37" s="9" t="str">
        <x:v>Unresearched</x:v>
      </x:c>
      <x:c r="K37" s="9" t="str">
        <x:v>Synthetic scenario</x:v>
      </x:c>
      <x:c r="L37" s="9" t="str">
        <x:v>role31@heliobook-demo.example</x:v>
      </x:c>
      <x:c r="M37" s="11" t="n">
        <x:f>ROUND(G37*5+H37*6+MIN(E37,5)*5+MIN(F37,50)*0.4,0)</x:f>
        <x:v>44</x:v>
      </x:c>
      <x:c r="N37" s="10" t="str">
        <x:f>IF(M37&gt;=75,"A / investigate",IF(M37&gt;=55,"B / nurture","C / hold"))</x:f>
        <x:v>C / hold</x:v>
      </x:c>
      <x:c r="O37" s="10" t="str">
        <x:f>IF(COUNTIF($B$7:B37,B37)&gt;1,"Review duplicate","Unique")</x:f>
        <x:v>Unique</x:v>
      </x:c>
      <x:c r="P37" s="10" t="str">
        <x:f>IF(O37="Review duplicate","Merge record",IF(J37="Research complete",IF(N37="A / investigate","Personalize discovery","Add to nurture"),"Verify source and role"))</x:f>
        <x:v>Verify source and role</x:v>
      </x:c>
      <x:c r="Q37" s="9" t="str">
        <x:v>Ana</x:v>
      </x:c>
      <x:c r="R37" s="9" t="str">
        <x:v>Illustrative record; verify real sources before use</x:v>
      </x:c>
    </x:row>
    <x:row r="38" ht="22" customHeight="1">
      <x:c r="A38" s="8" t="str">
        <x:v>HB-032</x:v>
      </x:c>
      <x:c r="B38" s="8" t="str">
        <x:v>Mosaic North Fitness</x:v>
      </x:c>
      <x:c r="C38" s="8" t="str">
        <x:v>Fitness</x:v>
      </x:c>
      <x:c r="D38" s="8" t="str">
        <x:v>Cape Town</x:v>
      </x:c>
      <x:c r="E38" s="9" t="n">
        <x:v>3</x:v>
      </x:c>
      <x:c r="F38" s="9" t="n">
        <x:v>30</x:v>
      </x:c>
      <x:c r="G38" s="9" t="n">
        <x:v>4</x:v>
      </x:c>
      <x:c r="H38" s="9" t="n">
        <x:v>3</x:v>
      </x:c>
      <x:c r="I38" s="8" t="str">
        <x:v>Operations Manager</x:v>
      </x:c>
      <x:c r="J38" s="9" t="str">
        <x:v>Needs evidence</x:v>
      </x:c>
      <x:c r="K38" s="9" t="str">
        <x:v>Synthetic scenario</x:v>
      </x:c>
      <x:c r="L38" s="9" t="str">
        <x:v>role32@heliobook-demo.example</x:v>
      </x:c>
      <x:c r="M38" s="11" t="n">
        <x:f>ROUND(G38*5+H38*6+MIN(E38,5)*5+MIN(F38,50)*0.4,0)</x:f>
        <x:v>65</x:v>
      </x:c>
      <x:c r="N38" s="10" t="str">
        <x:f>IF(M38&gt;=75,"A / investigate",IF(M38&gt;=55,"B / nurture","C / hold"))</x:f>
        <x:v>B / nurture</x:v>
      </x:c>
      <x:c r="O38" s="10" t="str">
        <x:f>IF(COUNTIF($B$7:B38,B38)&gt;1,"Review duplicate","Unique")</x:f>
        <x:v>Unique</x:v>
      </x:c>
      <x:c r="P38" s="10" t="str">
        <x:f>IF(O38="Review duplicate","Merge record",IF(J38="Research complete",IF(N38="A / investigate","Personalize discovery","Add to nurture"),"Verify source and role"))</x:f>
        <x:v>Verify source and role</x:v>
      </x:c>
      <x:c r="Q38" s="9" t="str">
        <x:v>Research queue</x:v>
      </x:c>
      <x:c r="R38" s="9" t="str">
        <x:v>Illustrative record; verify real sources before use</x:v>
      </x:c>
    </x:row>
    <x:row r="39" ht="22" customHeight="1">
      <x:c r="A39" s="8" t="str">
        <x:v>HB-033</x:v>
      </x:c>
      <x:c r="B39" s="8" t="str">
        <x:v>Sable Point Fitness</x:v>
      </x:c>
      <x:c r="C39" s="8" t="str">
        <x:v>Fitness</x:v>
      </x:c>
      <x:c r="D39" s="8" t="str">
        <x:v>Durban</x:v>
      </x:c>
      <x:c r="E39" s="9" t="n">
        <x:v>6</x:v>
      </x:c>
      <x:c r="F39" s="9" t="n">
        <x:v>41</x:v>
      </x:c>
      <x:c r="G39" s="9" t="n">
        <x:v>2</x:v>
      </x:c>
      <x:c r="H39" s="9" t="n">
        <x:v>5</x:v>
      </x:c>
      <x:c r="I39" s="8" t="str">
        <x:v>Marketing Lead</x:v>
      </x:c>
      <x:c r="J39" s="9" t="str">
        <x:v>Research complete</x:v>
      </x:c>
      <x:c r="K39" s="9" t="str">
        <x:v>Synthetic scenario</x:v>
      </x:c>
      <x:c r="L39" s="9" t="str">
        <x:v>role33@heliobook-demo.example</x:v>
      </x:c>
      <x:c r="M39" s="11" t="n">
        <x:f>ROUND(G39*5+H39*6+MIN(E39,5)*5+MIN(F39,50)*0.4,0)</x:f>
        <x:v>81</x:v>
      </x:c>
      <x:c r="N39" s="10" t="str">
        <x:f>IF(M39&gt;=75,"A / investigate",IF(M39&gt;=55,"B / nurture","C / hold"))</x:f>
        <x:v>A / investigate</x:v>
      </x:c>
      <x:c r="O39" s="10" t="str">
        <x:f>IF(COUNTIF($B$7:B39,B39)&gt;1,"Review duplicate","Unique")</x:f>
        <x:v>Unique</x:v>
      </x:c>
      <x:c r="P39" s="10" t="str">
        <x:f>IF(O39="Review duplicate","Merge record",IF(J39="Research complete",IF(N39="A / investigate","Personalize discovery","Add to nurture"),"Verify source and role"))</x:f>
        <x:v>Personalize discovery</x:v>
      </x:c>
      <x:c r="Q39" s="9" t="str">
        <x:v>Ana</x:v>
      </x:c>
      <x:c r="R39" s="9" t="str">
        <x:v>Illustrative record; verify real sources before use</x:v>
      </x:c>
    </x:row>
    <x:row r="40" ht="22" customHeight="1">
      <x:c r="A40" s="8" t="str">
        <x:v>HB-034</x:v>
      </x:c>
      <x:c r="B40" s="8" t="str">
        <x:v>Cedar Bloom Fitness</x:v>
      </x:c>
      <x:c r="C40" s="8" t="str">
        <x:v>Fitness</x:v>
      </x:c>
      <x:c r="D40" s="8" t="str">
        <x:v>Pretoria</x:v>
      </x:c>
      <x:c r="E40" s="9" t="n">
        <x:v>2</x:v>
      </x:c>
      <x:c r="F40" s="9" t="n">
        <x:v>52</x:v>
      </x:c>
      <x:c r="G40" s="9" t="n">
        <x:v>5</x:v>
      </x:c>
      <x:c r="H40" s="9" t="n">
        <x:v>2</x:v>
      </x:c>
      <x:c r="I40" s="8" t="str">
        <x:v>Owner</x:v>
      </x:c>
      <x:c r="J40" s="9" t="str">
        <x:v>Unresearched</x:v>
      </x:c>
      <x:c r="K40" s="9" t="str">
        <x:v>Synthetic scenario</x:v>
      </x:c>
      <x:c r="L40" s="9" t="str">
        <x:v>role34@heliobook-demo.example</x:v>
      </x:c>
      <x:c r="M40" s="11" t="n">
        <x:f>ROUND(G40*5+H40*6+MIN(E40,5)*5+MIN(F40,50)*0.4,0)</x:f>
        <x:v>67</x:v>
      </x:c>
      <x:c r="N40" s="10" t="str">
        <x:f>IF(M40&gt;=75,"A / investigate",IF(M40&gt;=55,"B / nurture","C / hold"))</x:f>
        <x:v>B / nurture</x:v>
      </x:c>
      <x:c r="O40" s="10" t="str">
        <x:f>IF(COUNTIF($B$7:B40,B40)&gt;1,"Review duplicate","Unique")</x:f>
        <x:v>Unique</x:v>
      </x:c>
      <x:c r="P40" s="10" t="str">
        <x:f>IF(O40="Review duplicate","Merge record",IF(J40="Research complete",IF(N40="A / investigate","Personalize discovery","Add to nurture"),"Verify source and role"))</x:f>
        <x:v>Verify source and role</x:v>
      </x:c>
      <x:c r="Q40" s="9" t="str">
        <x:v>Research queue</x:v>
      </x:c>
      <x:c r="R40" s="9" t="str">
        <x:v>Illustrative record; verify real sources before use</x:v>
      </x:c>
    </x:row>
    <x:row r="41" ht="22" customHeight="1">
      <x:c r="A41" s="8" t="str">
        <x:v>HB-035</x:v>
      </x:c>
      <x:c r="B41" s="8" t="str">
        <x:v>Pulse Grove Fitness</x:v>
      </x:c>
      <x:c r="C41" s="8" t="str">
        <x:v>Fitness</x:v>
      </x:c>
      <x:c r="D41" s="8" t="str">
        <x:v>Gqeberha</x:v>
      </x:c>
      <x:c r="E41" s="9" t="n">
        <x:v>5</x:v>
      </x:c>
      <x:c r="F41" s="9" t="n">
        <x:v>63</x:v>
      </x:c>
      <x:c r="G41" s="9" t="n">
        <x:v>3</x:v>
      </x:c>
      <x:c r="H41" s="9" t="n">
        <x:v>4</x:v>
      </x:c>
      <x:c r="I41" s="8" t="str">
        <x:v>Operations Manager</x:v>
      </x:c>
      <x:c r="J41" s="9" t="str">
        <x:v>Needs evidence</x:v>
      </x:c>
      <x:c r="K41" s="9" t="str">
        <x:v>Synthetic scenario</x:v>
      </x:c>
      <x:c r="L41" s="9" t="str">
        <x:v>role35@heliobook-demo.example</x:v>
      </x:c>
      <x:c r="M41" s="11" t="n">
        <x:f>ROUND(G41*5+H41*6+MIN(E41,5)*5+MIN(F41,50)*0.4,0)</x:f>
        <x:v>84</x:v>
      </x:c>
      <x:c r="N41" s="10" t="str">
        <x:f>IF(M41&gt;=75,"A / investigate",IF(M41&gt;=55,"B / nurture","C / hold"))</x:f>
        <x:v>A / investigate</x:v>
      </x:c>
      <x:c r="O41" s="10" t="str">
        <x:f>IF(COUNTIF($B$7:B41,B41)&gt;1,"Review duplicate","Unique")</x:f>
        <x:v>Unique</x:v>
      </x:c>
      <x:c r="P41" s="10" t="str">
        <x:f>IF(O41="Review duplicate","Merge record",IF(J41="Research complete",IF(N41="A / investigate","Personalize discovery","Add to nurture"),"Verify source and role"))</x:f>
        <x:v>Verify source and role</x:v>
      </x:c>
      <x:c r="Q41" s="9" t="str">
        <x:v>Ana</x:v>
      </x:c>
      <x:c r="R41" s="9" t="str">
        <x:v>Illustrative record; verify real sources before use</x:v>
      </x:c>
    </x:row>
    <x:row r="42" ht="22" customHeight="1">
      <x:c r="A42" s="8" t="str">
        <x:v>HB-036</x:v>
      </x:c>
      <x:c r="B42" s="8" t="str">
        <x:v>Lime District Fitness</x:v>
      </x:c>
      <x:c r="C42" s="8" t="str">
        <x:v>Fitness</x:v>
      </x:c>
      <x:c r="D42" s="8" t="str">
        <x:v>Stellenbosch</x:v>
      </x:c>
      <x:c r="E42" s="9" t="n">
        <x:v>1</x:v>
      </x:c>
      <x:c r="F42" s="9" t="n">
        <x:v>11</x:v>
      </x:c>
      <x:c r="G42" s="9" t="n">
        <x:v>1</x:v>
      </x:c>
      <x:c r="H42" s="9" t="n">
        <x:v>1</x:v>
      </x:c>
      <x:c r="I42" s="8" t="str">
        <x:v>Marketing Lead</x:v>
      </x:c>
      <x:c r="J42" s="9" t="str">
        <x:v>Research complete</x:v>
      </x:c>
      <x:c r="K42" s="9" t="str">
        <x:v>Synthetic scenario</x:v>
      </x:c>
      <x:c r="L42" s="9" t="str">
        <x:v>role36@heliobook-demo.example</x:v>
      </x:c>
      <x:c r="M42" s="11" t="n">
        <x:f>ROUND(G42*5+H42*6+MIN(E42,5)*5+MIN(F42,50)*0.4,0)</x:f>
        <x:v>20</x:v>
      </x:c>
      <x:c r="N42" s="10" t="str">
        <x:f>IF(M42&gt;=75,"A / investigate",IF(M42&gt;=55,"B / nurture","C / hold"))</x:f>
        <x:v>C / hold</x:v>
      </x:c>
      <x:c r="O42" s="10" t="str">
        <x:f>IF(COUNTIF($B$7:B42,B42)&gt;1,"Review duplicate","Unique")</x:f>
        <x:v>Unique</x:v>
      </x:c>
      <x:c r="P42" s="10" t="str">
        <x:f>IF(O42="Review duplicate","Merge record",IF(J42="Research complete",IF(N42="A / investigate","Personalize discovery","Add to nurture"),"Verify source and role"))</x:f>
        <x:v>Add to nurture</x:v>
      </x:c>
      <x:c r="Q42" s="9" t="str">
        <x:v>Research queue</x:v>
      </x:c>
      <x:c r="R42" s="9" t="str">
        <x:v>Illustrative record; verify real sources before use</x:v>
      </x:c>
    </x:row>
  </x:sheetData>
  <x:conditionalFormatting sqref="M7:M42">
    <x:cfRule type="colorScale" priority="1">
      <x:colorScale>
        <x:cfvo type="min"/>
        <x:cfvo type="percentile" val="50"/>
        <x:cfvo type="max"/>
        <x:color rgb="FFF7E9CD"/>
        <x:color rgb="FFDAE9FB"/>
        <x:color rgb="FFB8E3D3"/>
      </x:colorScale>
    </x:cfRule>
  </x:conditionalFormatting>
  <x:conditionalFormatting sqref="O7:O42">
    <x:cfRule type="containsText" dxfId="0" priority="2" operator="containsText" text="Review"/>
  </x:conditionalFormatting>
  <x:dataValidations count="1">
    <x:dataValidation type="list" sqref="J7:J42">
      <x:formula1>"Unresearched,Needs evidence,Research complete"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A7EAC"/>
  </x:sheetPr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19" hidden="0" customWidth="1"/>
    <x:col min="5" max="5" width="22" hidden="0" customWidth="1"/>
    <x:col min="6" max="6" width="19" hidden="0" customWidth="1"/>
    <x:col min="7" max="7" width="20" hidden="0" customWidth="1"/>
    <x:col min="8" max="8" width="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5" customHeight="1">
      <x:c r="A2" s="2" t="str">
        <x:v>CAMPAIGN CAPACITY PLANNER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3" t="str">
        <x:v>Forecast assumptions only. The workbook contains no actual campaign performance.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7" ht="28" customHeight="1">
      <x:c r="A7" s="7" t="str">
        <x:v>Channel</x:v>
      </x:c>
      <x:c r="B7" s="7" t="str">
        <x:v>Monthly capacity</x:v>
      </x:c>
      <x:c r="C7" s="7" t="str">
        <x:v>Response rate</x:v>
      </x:c>
      <x:c r="D7" s="7" t="str">
        <x:v>Qualified share</x:v>
      </x:c>
      <x:c r="E7" s="7" t="str">
        <x:v>Meetings forecast</x:v>
      </x:c>
      <x:c r="F7" s="7" t="str">
        <x:v>Hours / account</x:v>
      </x:c>
      <x:c r="G7" s="7" t="str">
        <x:v>Hours forecast</x:v>
      </x:c>
    </x:row>
    <x:row r="8">
      <x:c r="A8" t="str">
        <x:v>Targeted email</x:v>
      </x:c>
      <x:c r="B8" s="13" t="n">
        <x:v>80</x:v>
      </x:c>
      <x:c r="C8" s="14" t="n">
        <x:v>0.08</x:v>
      </x:c>
      <x:c r="D8" s="14" t="n">
        <x:v>0.3</x:v>
      </x:c>
      <x:c r="E8" s="15" t="n">
        <x:f>ROUND(B8*C8*D8,1)</x:f>
        <x:v>1.9</x:v>
      </x:c>
      <x:c r="F8" s="16" t="n">
        <x:v>0.45</x:v>
      </x:c>
      <x:c r="G8" s="15" t="n">
        <x:f>ROUND(B8*F8,1)</x:f>
        <x:v>36</x:v>
      </x:c>
    </x:row>
    <x:row r="9">
      <x:c r="A9" t="str">
        <x:v>LinkedIn research</x:v>
      </x:c>
      <x:c r="B9" s="13" t="n">
        <x:v>45</x:v>
      </x:c>
      <x:c r="C9" s="14" t="n">
        <x:v>0.12</x:v>
      </x:c>
      <x:c r="D9" s="14" t="n">
        <x:v>0.28</x:v>
      </x:c>
      <x:c r="E9" s="15" t="n">
        <x:f>ROUND(B9*C9*D9,1)</x:f>
        <x:v>1.5</x:v>
      </x:c>
      <x:c r="F9" s="16" t="n">
        <x:v>0.6</x:v>
      </x:c>
      <x:c r="G9" s="15" t="n">
        <x:f>ROUND(B9*F9,1)</x:f>
        <x:v>27</x:v>
      </x:c>
    </x:row>
    <x:row r="10">
      <x:c r="A10" t="str">
        <x:v>Warm referral</x:v>
      </x:c>
      <x:c r="B10" s="13" t="n">
        <x:v>15</x:v>
      </x:c>
      <x:c r="C10" s="14" t="n">
        <x:v>0.25</x:v>
      </x:c>
      <x:c r="D10" s="14" t="n">
        <x:v>0.45</x:v>
      </x:c>
      <x:c r="E10" s="15" t="n">
        <x:f>ROUND(B10*C10*D10,1)</x:f>
        <x:v>1.7</x:v>
      </x:c>
      <x:c r="F10" s="16" t="n">
        <x:v>0.8</x:v>
      </x:c>
      <x:c r="G10" s="15" t="n">
        <x:f>ROUND(B10*F10,1)</x:f>
        <x:v>12</x:v>
      </x:c>
    </x:row>
    <x:row r="11">
      <x:c r="A11" t="str">
        <x:v>Partner intro</x:v>
      </x:c>
      <x:c r="B11" s="13" t="n">
        <x:v>10</x:v>
      </x:c>
      <x:c r="C11" s="14" t="n">
        <x:v>0.3</x:v>
      </x:c>
      <x:c r="D11" s="14" t="n">
        <x:v>0.55</x:v>
      </x:c>
      <x:c r="E11" s="15" t="n">
        <x:f>ROUND(B11*C11*D11,1)</x:f>
        <x:v>1.7</x:v>
      </x:c>
      <x:c r="F11" s="16" t="n">
        <x:v>1</x:v>
      </x:c>
      <x:c r="G11" s="15" t="n">
        <x:f>ROUND(B11*F11,1)</x:f>
        <x:v>10</x:v>
      </x:c>
    </x:row>
    <x:row r="13">
      <x:c r="A13" s="18" t="str">
        <x:v>Total</x:v>
      </x:c>
      <x:c r="B13" s="18" t="n">
        <x:f>SUM(B8:B11)</x:f>
        <x:v>150</x:v>
      </x:c>
      <x:c r="C13" s="18"/>
      <x:c r="D13" s="18"/>
      <x:c r="E13" s="18" t="n">
        <x:f>SUM(E8:E11)</x:f>
        <x:v>6.8</x:v>
      </x:c>
      <x:c r="F13" s="18"/>
      <x:c r="G13" s="18" t="n">
        <x:f>SUM(G8:G11)</x:f>
        <x:v>85</x:v>
      </x:c>
    </x:row>
    <x:row r="16">
      <x:c r="A16" s="3" t="str">
        <x:v>Illustrative planning assumptions. Replace with actual benchmark data only after a real pilot.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494A8"/>
  </x:sheetPr>
  <x:sheetViews>
    <x:sheetView showGridLines="0" workbookViewId="0"/>
  </x:sheetViews>
  <x:sheetFormatPr defaultRowHeight="15"/>
  <x:cols>
    <x:col min="1" max="1" width="24" hidden="0" customWidth="1"/>
    <x:col min="2" max="2" width="93" hidden="0" customWidth="1"/>
    <x:col min="3" max="3" width="6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</x:row>
    <x:row r="2" ht="25" customHeight="1">
      <x:c r="A2" s="2" t="str">
        <x:v>OPERATING NOTES</x:v>
      </x:c>
      <x:c r="B2" s="1"/>
      <x:c r="C2" s="1"/>
      <x:c r="D2" s="1"/>
      <x:c r="E2" s="1"/>
      <x:c r="F2" s="1"/>
      <x:c r="G2" s="1"/>
      <x:c r="H2" s="1"/>
    </x:row>
    <x:row r="3" ht="22" customHeight="1">
      <x:c r="A3" s="3" t="str">
        <x:v>A reusable prospecting system for discovery, qualification, handoff, and CRM entry.</x:v>
      </x:c>
      <x:c r="B3" s="1"/>
      <x:c r="C3" s="1"/>
      <x:c r="D3" s="1"/>
      <x:c r="E3" s="1"/>
      <x:c r="F3" s="1"/>
      <x:c r="G3" s="1"/>
      <x:c r="H3" s="1"/>
    </x:row>
    <x:row r="4">
      <x:c r="A4" s="4"/>
      <x:c r="B4" s="4"/>
      <x:c r="C4" s="4"/>
      <x:c r="D4" s="4"/>
      <x:c r="E4" s="4"/>
      <x:c r="F4" s="4"/>
      <x:c r="G4" s="4"/>
      <x:c r="H4" s="4"/>
    </x:row>
    <x:row r="6" ht="28" customHeight="1">
      <x:c r="A6" s="7" t="str">
        <x:v>Component</x:v>
      </x:c>
      <x:c r="B6" s="7" t="str">
        <x:v>How it works</x:v>
      </x:c>
    </x:row>
    <x:row r="7" ht="22" customHeight="1">
      <x:c r="A7" s="8" t="str">
        <x:v>Accounts</x:v>
      </x:c>
      <x:c r="B7" s="8" t="str">
        <x:v>Edit amber cells; the scores, priority, duplicates and next actions update.</x:v>
      </x:c>
    </x:row>
    <x:row r="8" ht="22" customHeight="1">
      <x:c r="A8" s="8" t="str">
        <x:v>Scoring</x:v>
      </x:c>
      <x:c r="B8" s="8" t="str">
        <x:v>Pain 25 + intent 30 + locations 25 + staff 20; a heuristic for triage, not a factual claim.</x:v>
      </x:c>
    </x:row>
    <x:row r="9" ht="22" customHeight="1">
      <x:c r="A9" s="8" t="str">
        <x:v>Review gate</x:v>
      </x:c>
      <x:c r="B9" s="8" t="str">
        <x:v>Research complete is a workflow flag in a simulation, not external verification.</x:v>
      </x:c>
    </x:row>
    <x:row r="10" ht="22" customHeight="1">
      <x:c r="A10" s="8" t="str">
        <x:v>Planner</x:v>
      </x:c>
      <x:c r="B10" s="8" t="str">
        <x:v>Edit amber forecast inputs; meetings and hours recalculate automatically.</x:v>
      </x:c>
    </x:row>
    <x:row r="11" ht="22" customHeight="1">
      <x:c r="A11" s="8" t="str">
        <x:v>CRM handoff</x:v>
      </x:c>
      <x:c r="B11" s="8" t="str">
        <x:v>Copy only reviewed records into a real CRM after confirming consent and source.</x:v>
      </x:c>
    </x:row>
    <x:row r="12" ht="22" customHeight="1">
      <x:c r="A12" s="8" t="str">
        <x:v>Evidence</x:v>
      </x:c>
      <x:c r="B12" s="8" t="str">
        <x:v>All organizations and addresses are synthetic. Use this as a system demonstration.</x:v>
      </x:c>
    </x:row>
  </x:sheetData>
  <x:pageMargins left="0.7" right="0.7" top="0.75" bottom="0.75" header="0.3" footer="0.3"/>
</x:worksheet>
</file>