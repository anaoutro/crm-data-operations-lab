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39252f060a44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earch Queue" sheetId="1" r:id="R88abfae300e64107"/>
    <x:sheet xmlns:r="http://schemas.openxmlformats.org/officeDocument/2006/relationships" name="B2B Campaign Plan" sheetId="2" r:id="R7818d7028b5c46e9"/>
    <x:sheet xmlns:r="http://schemas.openxmlformats.org/officeDocument/2006/relationships" name="Method" sheetId="3" r:id="R45d9932ba67144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 mmm yyyy"/>
  </x:numFmts>
  <x:fonts count="13">
    <x:font>
      <x:sz val="11"/>
      <x:name val="Carlito"/>
    </x:font>
    <x:font>
      <x:sz val="10"/>
      <x:color rgb="FF243347"/>
      <x:name val="Arial"/>
    </x:font>
    <x:font>
      <x:b/>
      <x:sz val="21"/>
      <x:color rgb="FFFFFFFF"/>
      <x:name val="Arial"/>
    </x:font>
    <x:font>
      <x:sz val="10"/>
      <x:color rgb="FFC6EFE4"/>
      <x:name val="Arial"/>
    </x:font>
    <x:font>
      <x:b/>
      <x:sz val="9"/>
      <x:color rgb="FF315B61"/>
      <x:name val="Arial"/>
    </x:font>
    <x:font>
      <x:b/>
      <x:sz val="22"/>
      <x:color rgb="FF102B3D"/>
      <x:name val="Arial"/>
    </x:font>
    <x:font>
      <x:sz val="10"/>
      <x:color rgb="FF654A24"/>
      <x:name val="Arial"/>
    </x:font>
    <x:font>
      <x:b/>
      <x:sz val="10"/>
      <x:color rgb="FFFFFFFF"/>
      <x:name val="Arial"/>
    </x:font>
    <x:font>
      <x:sz val="10"/>
      <x:color rgb="FF20528B"/>
      <x:name val="Arial"/>
    </x:font>
    <x:font>
      <x:sz val="10"/>
      <x:color rgb="FF176956"/>
      <x:name val="Arial"/>
    </x:font>
    <x:font>
      <x:b/>
      <x:sz val="20"/>
      <x:color rgb="FFFFFFFF"/>
      <x:name val="Arial"/>
    </x:font>
    <x:font>
      <x:sz val="11"/>
      <x:color rgb="FF654A24"/>
      <x:name val="Arial"/>
    </x:font>
    <x:font>
      <x:b/>
      <x:sz val="10"/>
      <x:color rgb="FF315B61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4273B"/>
      </x:patternFill>
    </x:fill>
    <x:fill>
      <x:patternFill patternType="solid">
        <x:fgColor rgb="FF1F4352"/>
      </x:patternFill>
    </x:fill>
    <x:fill>
      <x:patternFill patternType="solid">
        <x:fgColor rgb="FFDDECEB"/>
      </x:patternFill>
    </x:fill>
    <x:fill>
      <x:patternFill patternType="solid">
        <x:fgColor rgb="FFF2F8F7"/>
      </x:patternFill>
    </x:fill>
    <x:fill>
      <x:patternFill patternType="solid">
        <x:fgColor rgb="FFFFF1DC"/>
      </x:patternFill>
    </x:fill>
    <x:fill>
      <x:patternFill patternType="solid">
        <x:fgColor rgb="FF285B62"/>
      </x:patternFill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1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20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200" fontId="8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12" fillId="4" borderId="0" xfId="0" applyNumberFormat="1" applyFont="1" applyFill="1" applyBorder="1"/>
    <x:xf numFmtId="0" fontId="12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9F3327"/>
      </x:font>
      <x:fill>
        <x:patternFill patternType="solid">
          <x:bgColor rgb="FFFFE3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1027903977432a" /><Relationship Type="http://schemas.openxmlformats.org/officeDocument/2006/relationships/theme" Target="/xl/theme/theme1.xml" Id="R8d0840a5594449ec" /><Relationship Type="http://schemas.openxmlformats.org/officeDocument/2006/relationships/sharedStrings" Target="/xl/sharedStrings.xml" Id="R79d044172bf94859" /><Relationship Type="http://schemas.openxmlformats.org/officeDocument/2006/relationships/worksheet" Target="/xl/worksheets/sheet1.xml" Id="R88abfae300e64107" /><Relationship Type="http://schemas.openxmlformats.org/officeDocument/2006/relationships/worksheet" Target="/xl/worksheets/sheet2.xml" Id="R7818d7028b5c46e9" /><Relationship Type="http://schemas.openxmlformats.org/officeDocument/2006/relationships/worksheet" Target="/xl/worksheets/sheet3.xml" Id="R45d9932ba67144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8.329999923706055" hidden="0" customWidth="1"/>
    <x:col min="2" max="2" width="18.889999389648438" hidden="0" customWidth="1"/>
    <x:col min="3" max="3" width="10" hidden="0" customWidth="1"/>
    <x:col min="4" max="4" width="16.110000610351562" hidden="0" customWidth="1"/>
    <x:col min="5" max="5" width="9.109999656677246" hidden="0" customWidth="1"/>
    <x:col min="6" max="6" width="17.780000686645508" hidden="0" customWidth="1"/>
    <x:col min="7" max="7" width="12" hidden="0" customWidth="1"/>
    <x:col min="8" max="8" width="33.33000183105469" hidden="0" customWidth="1"/>
    <x:col min="9" max="9" width="41.11000061035156" hidden="0" customWidth="1"/>
    <x:col min="10" max="10" width="13.329999923706055" hidden="0" customWidth="1"/>
    <x:col min="11" max="11" width="16.110000610351562" hidden="0" customWidth="1"/>
    <x:col min="12" max="12" width="11.109999656677246" hidden="0" customWidth="1"/>
    <x:col min="13" max="13" width="24.440000534057617" hidden="0" customWidth="1"/>
    <x:col min="14" max="14" width="13.890000343322754" hidden="0" customWidth="1"/>
    <x:col min="15" max="15" width="10" hidden="0" customWidth="1"/>
  </x:cols>
  <x:sheetData>
    <x:row r="1" ht="34" customHeight="1">
      <x:c r="A1" s="3" t="str">
        <x:v>PUBLIC B2B / ACCOUNT INTELLIGENCE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4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30" customHeight="1">
      <x:c r="A3" s="5" t="str">
        <x:v>Public company pages • observed 30 Sep 2026 • no personal contacts, outreach or sales results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7" t="str">
        <x:v>RESEARCHED ACCOUNTS</x:v>
      </x:c>
      <x:c r="B5" s="7"/>
      <x:c r="C5" s="7" t="str">
        <x:v>UNIQUE ACCOUNTS</x:v>
      </x:c>
      <x:c r="D5" s="7"/>
      <x:c r="E5" s="7" t="str">
        <x:v>BUYERS VERIFIED</x:v>
      </x:c>
      <x:c r="F5" s="7"/>
      <x:c r="G5" s="7" t="str">
        <x:v>OUTREACH SENT</x:v>
      </x:c>
      <x:c r="H5" s="7"/>
      <x:c r="I5" s="12" t="str">
        <x:v>Research score prioritizes verification work. It does not measure purchase intent.</x:v>
      </x:c>
      <x:c r="J5" s="12"/>
      <x:c r="K5" s="12"/>
      <x:c r="L5" s="12"/>
      <x:c r="M5" s="12"/>
      <x:c r="N5" s="1"/>
      <x:c r="O5" s="1"/>
    </x:row>
    <x:row r="6" ht="40" customHeight="1">
      <x:c r="A6" s="9" t="n">
        <x:f>COUNTA(B11:B17)</x:f>
        <x:v>7</x:v>
      </x:c>
      <x:c r="B6" s="9"/>
      <x:c r="C6" s="9" t="n">
        <x:f>COUNTIF(K11:K17,"UNIQUE")</x:f>
        <x:v>7</x:v>
      </x:c>
      <x:c r="D6" s="9"/>
      <x:c r="E6" s="9" t="n">
        <x:f>COUNTIF(N11:N17,"Yes")</x:f>
        <x:v>0</x:v>
      </x:c>
      <x:c r="F6" s="9"/>
      <x:c r="G6" s="9" t="n">
        <x:f>COUNTIF(O11:O17,"Sent")</x:f>
        <x:v>0</x:v>
      </x:c>
      <x:c r="H6" s="9"/>
      <x:c r="I6" s="12"/>
      <x:c r="J6" s="12"/>
      <x:c r="K6" s="12"/>
      <x:c r="L6" s="12"/>
      <x:c r="M6" s="12"/>
      <x:c r="N6" s="1"/>
      <x:c r="O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</x:row>
    <x:row r="9">
      <x:c r="A9" s="13" t="str">
        <x:v>ACCOUNT RESEARCH  /  source inputs in blue • calculated QA and actions in green</x:v>
      </x:c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</x:row>
    <x:row r="10" ht="35" customHeight="1">
      <x:c r="A10" s="16" t="str">
        <x:v>ID</x:v>
      </x:c>
      <x:c r="B10" s="16" t="str">
        <x:v>Company</x:v>
      </x:c>
      <x:c r="C10" s="16" t="str">
        <x:v>Segment</x:v>
      </x:c>
      <x:c r="D10" s="16" t="str">
        <x:v>Market</x:v>
      </x:c>
      <x:c r="E10" s="16" t="str">
        <x:v>Reported scale*</x:v>
      </x:c>
      <x:c r="F10" s="16" t="str">
        <x:v>Public booking route</x:v>
      </x:c>
      <x:c r="G10" s="16" t="str">
        <x:v>Observed platform</x:v>
      </x:c>
      <x:c r="H10" s="16" t="str">
        <x:v>Official evidence URL</x:v>
      </x:c>
      <x:c r="I10" s="16" t="str">
        <x:v>Evidence note</x:v>
      </x:c>
      <x:c r="J10" s="16" t="str">
        <x:v>Observed on</x:v>
      </x:c>
      <x:c r="K10" s="16" t="str">
        <x:v>Duplicate check</x:v>
      </x:c>
      <x:c r="L10" s="16" t="str">
        <x:v>Research score</x:v>
      </x:c>
      <x:c r="M10" s="16" t="str">
        <x:v>Next research action</x:v>
      </x:c>
      <x:c r="N10" s="16" t="str">
        <x:v>Buyer verified?</x:v>
      </x:c>
      <x:c r="O10" s="16" t="str">
        <x:v>Outreach</x:v>
      </x:c>
    </x:row>
    <x:row r="11" ht="50" customHeight="1">
      <x:c r="A11" s="20" t="str">
        <x:v>BC-01</x:v>
      </x:c>
      <x:c r="B11" s="20" t="str">
        <x:v>Barber Club</x:v>
      </x:c>
      <x:c r="C11" s="20" t="str">
        <x:v>Barber</x:v>
      </x:c>
      <x:c r="D11" s="20" t="str">
        <x:v>South Africa</x:v>
      </x:c>
      <x:c r="E11" s="20" t="n">
        <x:v>11</x:v>
      </x:c>
      <x:c r="F11" s="20" t="str">
        <x:v>Contact / branches</x:v>
      </x:c>
      <x:c r="G11" s="20" t="str">
        <x:v>Unknown</x:v>
      </x:c>
      <x:c r="H11" s="20" t="str">
        <x:v>https://www.barberclub.co.za/branches</x:v>
      </x:c>
      <x:c r="I11" s="20" t="str">
        <x:v>Official branches page lists 11 named locations and contact actions.</x:v>
      </x:c>
      <x:c r="J11" s="21" t="n">
        <x:v>46295</x:v>
      </x:c>
      <x:c r="K11" s="22" t="str">
        <x:f>IF(COUNTIF($B$11:B11,B11)&gt;1,"REVIEW DUPLICATE","UNIQUE")</x:f>
        <x:v>UNIQUE</x:v>
      </x:c>
      <x:c r="L11" s="22" t="n">
        <x:f>IF(K11="REVIEW DUPLICATE",0,IF(F11="WhatsApp",25,IF(F11="Public online booking",20,10))+IF(E11&gt;=10,25,IF(E11&gt;=2,15,5))+IF(H11&lt;&gt;"",25,0)+IF(I11&lt;&gt;"",15,0))</x:f>
        <x:v>75</x:v>
      </x:c>
      <x:c r="M11" s="22" t="str">
        <x:f>IF(K11="REVIEW DUPLICATE","Resolve duplicate",IF(G11&lt;&gt;"Unknown","Review integration / switching cost","Confirm workflow and buyer"))</x:f>
        <x:v>Confirm workflow and buyer</x:v>
      </x:c>
      <x:c r="N11" s="23" t="str">
        <x:v>No</x:v>
      </x:c>
      <x:c r="O11" s="23" t="str">
        <x:v>None</x:v>
      </x:c>
    </x:row>
    <x:row r="12" ht="50" customHeight="1">
      <x:c r="A12" s="20" t="str">
        <x:v>SB-02</x:v>
      </x:c>
      <x:c r="B12" s="20" t="str">
        <x:v>Sorbet</x:v>
      </x:c>
      <x:c r="C12" s="20" t="str">
        <x:v>Beauty</x:v>
      </x:c>
      <x:c r="D12" s="20" t="str">
        <x:v>South Africa</x:v>
      </x:c>
      <x:c r="E12" s="20" t="n">
        <x:v>200</x:v>
      </x:c>
      <x:c r="F12" s="20" t="str">
        <x:v>Public online booking</x:v>
      </x:c>
      <x:c r="G12" s="20" t="str">
        <x:v>Zenoti</x:v>
      </x:c>
      <x:c r="H12" s="20" t="str">
        <x:v>https://www.sorbet.co.za/salon</x:v>
      </x:c>
      <x:c r="I12" s="20" t="str">
        <x:v>Official site says over 200 salons and links Book Treatments to Zenoti.</x:v>
      </x:c>
      <x:c r="J12" s="21" t="n">
        <x:v>46295</x:v>
      </x:c>
      <x:c r="K12" s="22" t="str">
        <x:f>IF(COUNTIF($B$11:B12,B12)&gt;1,"REVIEW DUPLICATE","UNIQUE")</x:f>
        <x:v>UNIQUE</x:v>
      </x:c>
      <x:c r="L12" s="22" t="n">
        <x:f>IF(K12="REVIEW DUPLICATE",0,IF(F12="WhatsApp",25,IF(F12="Public online booking",20,10))+IF(E12&gt;=10,25,IF(E12&gt;=2,15,5))+IF(H12&lt;&gt;"",25,0)+IF(I12&lt;&gt;"",15,0))</x:f>
        <x:v>85</x:v>
      </x:c>
      <x:c r="M12" s="22" t="str">
        <x:f>IF(K12="REVIEW DUPLICATE","Resolve duplicate",IF(G12&lt;&gt;"Unknown","Review integration / switching cost","Confirm workflow and buyer"))</x:f>
        <x:v>Review integration / switching cost</x:v>
      </x:c>
      <x:c r="N12" s="23" t="str">
        <x:v>No</x:v>
      </x:c>
      <x:c r="O12" s="23" t="str">
        <x:v>None</x:v>
      </x:c>
    </x:row>
    <x:row r="13" ht="50" customHeight="1">
      <x:c r="A13" s="20" t="str">
        <x:v>CS-03</x:v>
      </x:c>
      <x:c r="B13" s="20" t="str">
        <x:v>Camelot Spa Group</x:v>
      </x:c>
      <x:c r="C13" s="20" t="str">
        <x:v>Spa</x:v>
      </x:c>
      <x:c r="D13" s="20" t="str">
        <x:v>South Africa &amp; region</x:v>
      </x:c>
      <x:c r="E13" s="20" t="n">
        <x:v>16</x:v>
      </x:c>
      <x:c r="F13" s="20" t="str">
        <x:v>Public online booking</x:v>
      </x:c>
      <x:c r="G13" s="20" t="str">
        <x:v>Zenoti</x:v>
      </x:c>
      <x:c r="H13" s="20" t="str">
        <x:v>https://www.camelotspa.co.za/</x:v>
      </x:c>
      <x:c r="I13" s="20" t="str">
        <x:v>Official site says 16 branches across South Africa, Botswana and Nigeria; Book Online links to Zenoti.</x:v>
      </x:c>
      <x:c r="J13" s="21" t="n">
        <x:v>46295</x:v>
      </x:c>
      <x:c r="K13" s="22" t="str">
        <x:f>IF(COUNTIF($B$11:B13,B13)&gt;1,"REVIEW DUPLICATE","UNIQUE")</x:f>
        <x:v>UNIQUE</x:v>
      </x:c>
      <x:c r="L13" s="22" t="n">
        <x:f>IF(K13="REVIEW DUPLICATE",0,IF(F13="WhatsApp",25,IF(F13="Public online booking",20,10))+IF(E13&gt;=10,25,IF(E13&gt;=2,15,5))+IF(H13&lt;&gt;"",25,0)+IF(I13&lt;&gt;"",15,0))</x:f>
        <x:v>85</x:v>
      </x:c>
      <x:c r="M13" s="22" t="str">
        <x:f>IF(K13="REVIEW DUPLICATE","Resolve duplicate",IF(G13&lt;&gt;"Unknown","Review integration / switching cost","Confirm workflow and buyer"))</x:f>
        <x:v>Review integration / switching cost</x:v>
      </x:c>
      <x:c r="N13" s="23" t="str">
        <x:v>No</x:v>
      </x:c>
      <x:c r="O13" s="23" t="str">
        <x:v>None</x:v>
      </x:c>
    </x:row>
    <x:row r="14" ht="50" customHeight="1">
      <x:c r="A14" s="20" t="str">
        <x:v>LD-04</x:v>
      </x:c>
      <x:c r="B14" s="20" t="str">
        <x:v>Life Day Spa Group</x:v>
      </x:c>
      <x:c r="C14" s="20" t="str">
        <x:v>Spa</x:v>
      </x:c>
      <x:c r="D14" s="20" t="str">
        <x:v>South Africa &amp; Namibia</x:v>
      </x:c>
      <x:c r="E14" s="20" t="n">
        <x:v>11</x:v>
      </x:c>
      <x:c r="F14" s="20" t="str">
        <x:v>Public online booking</x:v>
      </x:c>
      <x:c r="G14" s="20" t="str">
        <x:v>Unknown</x:v>
      </x:c>
      <x:c r="H14" s="20" t="str">
        <x:v>https://lifedayspa.co.za/book-a-treatment/</x:v>
      </x:c>
      <x:c r="I14" s="20" t="str">
        <x:v>Official booking page lists 11 locations across South Africa and Namibia.</x:v>
      </x:c>
      <x:c r="J14" s="21" t="n">
        <x:v>46295</x:v>
      </x:c>
      <x:c r="K14" s="22" t="str">
        <x:f>IF(COUNTIF($B$11:B14,B14)&gt;1,"REVIEW DUPLICATE","UNIQUE")</x:f>
        <x:v>UNIQUE</x:v>
      </x:c>
      <x:c r="L14" s="22" t="n">
        <x:f>IF(K14="REVIEW DUPLICATE",0,IF(F14="WhatsApp",25,IF(F14="Public online booking",20,10))+IF(E14&gt;=10,25,IF(E14&gt;=2,15,5))+IF(H14&lt;&gt;"",25,0)+IF(I14&lt;&gt;"",15,0))</x:f>
        <x:v>85</x:v>
      </x:c>
      <x:c r="M14" s="22" t="str">
        <x:f>IF(K14="REVIEW DUPLICATE","Resolve duplicate",IF(G14&lt;&gt;"Unknown","Review integration / switching cost","Confirm workflow and buyer"))</x:f>
        <x:v>Confirm workflow and buyer</x:v>
      </x:c>
      <x:c r="N14" s="23" t="str">
        <x:v>No</x:v>
      </x:c>
      <x:c r="O14" s="23" t="str">
        <x:v>None</x:v>
      </x:c>
    </x:row>
    <x:row r="15" ht="50" customHeight="1">
      <x:c r="A15" s="20" t="str">
        <x:v>LB-05</x:v>
      </x:c>
      <x:c r="B15" s="20" t="str">
        <x:v>Legends Barbershop</x:v>
      </x:c>
      <x:c r="C15" s="20" t="str">
        <x:v>Barber</x:v>
      </x:c>
      <x:c r="D15" s="20" t="str">
        <x:v>South Africa / Africa</x:v>
      </x:c>
      <x:c r="E15" s="20" t="n">
        <x:v>80</x:v>
      </x:c>
      <x:c r="F15" s="20" t="str">
        <x:v>Owned booking app</x:v>
      </x:c>
      <x:c r="G15" s="20" t="str">
        <x:v>Legends app</x:v>
      </x:c>
      <x:c r="H15" s="20" t="str">
        <x:v>https://www.legends-barber.com/</x:v>
      </x:c>
      <x:c r="I15" s="20" t="str">
        <x:v>Official site describes more than 80 stores in five countries and its own booking app.</x:v>
      </x:c>
      <x:c r="J15" s="21" t="n">
        <x:v>46295</x:v>
      </x:c>
      <x:c r="K15" s="22" t="str">
        <x:f>IF(COUNTIF($B$11:B15,B15)&gt;1,"REVIEW DUPLICATE","UNIQUE")</x:f>
        <x:v>UNIQUE</x:v>
      </x:c>
      <x:c r="L15" s="22" t="n">
        <x:f>IF(K15="REVIEW DUPLICATE",0,IF(F15="WhatsApp",25,IF(F15="Public online booking",20,10))+IF(E15&gt;=10,25,IF(E15&gt;=2,15,5))+IF(H15&lt;&gt;"",25,0)+IF(I15&lt;&gt;"",15,0))</x:f>
        <x:v>75</x:v>
      </x:c>
      <x:c r="M15" s="22" t="str">
        <x:f>IF(K15="REVIEW DUPLICATE","Resolve duplicate",IF(G15&lt;&gt;"Unknown","Review integration / switching cost","Confirm workflow and buyer"))</x:f>
        <x:v>Review integration / switching cost</x:v>
      </x:c>
      <x:c r="N15" s="23" t="str">
        <x:v>No</x:v>
      </x:c>
      <x:c r="O15" s="23" t="str">
        <x:v>None</x:v>
      </x:c>
    </x:row>
    <x:row r="16" ht="50" customHeight="1">
      <x:c r="A16" s="20" t="str">
        <x:v>ST-06</x:v>
      </x:c>
      <x:c r="B16" s="20" t="str">
        <x:v>Sirina Thai Spa</x:v>
      </x:c>
      <x:c r="C16" s="20" t="str">
        <x:v>Spa</x:v>
      </x:c>
      <x:c r="D16" s="20" t="str">
        <x:v>South Africa</x:v>
      </x:c>
      <x:c r="E16" s="20" t="n">
        <x:v>13</x:v>
      </x:c>
      <x:c r="F16" s="20" t="str">
        <x:v>WhatsApp</x:v>
      </x:c>
      <x:c r="G16" s="20" t="str">
        <x:v>Unknown</x:v>
      </x:c>
      <x:c r="H16" s="20" t="str">
        <x:v>https://sirinathaispa.co.za/</x:v>
      </x:c>
      <x:c r="I16" s="20" t="str">
        <x:v>Official site lists 13 locations, including one marked temporarily closed, and directs normal bookings to WhatsApp.</x:v>
      </x:c>
      <x:c r="J16" s="21" t="n">
        <x:v>46295</x:v>
      </x:c>
      <x:c r="K16" s="22" t="str">
        <x:f>IF(COUNTIF($B$11:B16,B16)&gt;1,"REVIEW DUPLICATE","UNIQUE")</x:f>
        <x:v>UNIQUE</x:v>
      </x:c>
      <x:c r="L16" s="22" t="n">
        <x:f>IF(K16="REVIEW DUPLICATE",0,IF(F16="WhatsApp",25,IF(F16="Public online booking",20,10))+IF(E16&gt;=10,25,IF(E16&gt;=2,15,5))+IF(H16&lt;&gt;"",25,0)+IF(I16&lt;&gt;"",15,0))</x:f>
        <x:v>90</x:v>
      </x:c>
      <x:c r="M16" s="22" t="str">
        <x:f>IF(K16="REVIEW DUPLICATE","Resolve duplicate",IF(G16&lt;&gt;"Unknown","Review integration / switching cost","Confirm workflow and buyer"))</x:f>
        <x:v>Confirm workflow and buyer</x:v>
      </x:c>
      <x:c r="N16" s="23" t="str">
        <x:v>No</x:v>
      </x:c>
      <x:c r="O16" s="23" t="str">
        <x:v>None</x:v>
      </x:c>
    </x:row>
    <x:row r="17" ht="50" customHeight="1">
      <x:c r="A17" s="20" t="str">
        <x:v>P10-07</x:v>
      </x:c>
      <x:c r="B17" s="20" t="str">
        <x:v>Perfect 10</x:v>
      </x:c>
      <x:c r="C17" s="20" t="str">
        <x:v>Beauty</x:v>
      </x:c>
      <x:c r="D17" s="20" t="str">
        <x:v>South Africa</x:v>
      </x:c>
      <x:c r="E17" s="20"/>
      <x:c r="F17" s="20" t="str">
        <x:v>Studio locator / booking</x:v>
      </x:c>
      <x:c r="G17" s="20" t="str">
        <x:v>Unknown</x:v>
      </x:c>
      <x:c r="H17" s="20" t="str">
        <x:v>https://www.perfect10.co.za/</x:v>
      </x:c>
      <x:c r="I17" s="20" t="str">
        <x:v>Official site describes nationwide studios and points visitors to its locator to book an appointment.</x:v>
      </x:c>
      <x:c r="J17" s="21" t="n">
        <x:v>46295</x:v>
      </x:c>
      <x:c r="K17" s="22" t="str">
        <x:f>IF(COUNTIF($B$11:B17,B17)&gt;1,"REVIEW DUPLICATE","UNIQUE")</x:f>
        <x:v>UNIQUE</x:v>
      </x:c>
      <x:c r="L17" s="22" t="n">
        <x:f>IF(K17="REVIEW DUPLICATE",0,IF(F17="WhatsApp",25,IF(F17="Public online booking",20,10))+IF(E17&gt;=10,25,IF(E17&gt;=2,15,5))+IF(H17&lt;&gt;"",25,0)+IF(I17&lt;&gt;"",15,0))</x:f>
        <x:v>55</x:v>
      </x:c>
      <x:c r="M17" s="22" t="str">
        <x:f>IF(K17="REVIEW DUPLICATE","Resolve duplicate",IF(G17&lt;&gt;"Unknown","Review integration / switching cost","Confirm workflow and buyer"))</x:f>
        <x:v>Confirm workflow and buyer</x:v>
      </x:c>
      <x:c r="N17" s="23" t="str">
        <x:v>No</x:v>
      </x:c>
      <x:c r="O17" s="23" t="str">
        <x:v>None</x:v>
      </x:c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</x:sheetData>
  <x:mergeCells>
    <x:mergeCell ref="A5:B5"/>
    <x:mergeCell ref="A6:B6"/>
    <x:mergeCell ref="C5:D5"/>
    <x:mergeCell ref="C6:D6"/>
    <x:mergeCell ref="E5:F5"/>
    <x:mergeCell ref="E6:F6"/>
    <x:mergeCell ref="G5:H5"/>
    <x:mergeCell ref="G6:H6"/>
    <x:mergeCell ref="I5:M6"/>
  </x:mergeCells>
  <x:conditionalFormatting sqref="K11:K100">
    <x:cfRule type="containsText" dxfId="0" priority="1" operator="containsText" text="REVIEW DUPLICATE"/>
  </x:conditionalFormatting>
  <x:dataValidations count="2">
    <x:dataValidation type="list" sqref="N11:N100">
      <x:formula1>"No,Yes"</x:formula1>
    </x:dataValidation>
    <x:dataValidation type="list" sqref="O11:O100">
      <x:formula1>"None,Sent"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10" hidden="0" customWidth="1"/>
    <x:col min="3" max="3" width="26.110000610351562" hidden="0" customWidth="1"/>
    <x:col min="4" max="4" width="38.88999938964844" hidden="0" customWidth="1"/>
    <x:col min="5" max="5" width="38.88999938964844" hidden="0" customWidth="1"/>
    <x:col min="6" max="6" width="23.329999923706055" hidden="0" customWidth="1"/>
  </x:cols>
  <x:sheetData>
    <x:row r="1" ht="34" customHeight="1">
      <x:c r="A1" s="24" t="str">
        <x:v>B2B / SEGMENT STRATEGY</x:v>
      </x:c>
      <x:c r="B1" s="2"/>
      <x:c r="C1" s="2"/>
      <x:c r="D1" s="2"/>
      <x:c r="E1" s="2"/>
      <x:c r="F1" s="2"/>
      <x:c r="G1" s="2"/>
      <x:c r="H1" s="2"/>
      <x:c r="I1" s="1"/>
      <x:c r="J1" s="1"/>
      <x:c r="K1" s="1"/>
      <x:c r="L1" s="1"/>
      <x:c r="M1" s="1"/>
      <x:c r="N1" s="1"/>
      <x:c r="O1" s="1"/>
    </x:row>
    <x:row r="2" ht="34" customHeight="1">
      <x:c r="A2" s="2"/>
      <x:c r="B2" s="2"/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  <x:c r="O2" s="1"/>
    </x:row>
    <x:row r="3" ht="30" customHeight="1">
      <x:c r="A3" s="5" t="str">
        <x:v>Hypotheses for discovery • no campaign launched • counts link to the public research queue</x:v>
      </x:c>
      <x:c r="B3" s="4"/>
      <x:c r="C3" s="4"/>
      <x:c r="D3" s="4"/>
      <x:c r="E3" s="4"/>
      <x:c r="F3" s="4"/>
      <x:c r="G3" s="4"/>
      <x:c r="H3" s="4"/>
      <x:c r="I3" s="1"/>
      <x:c r="J3" s="1"/>
      <x:c r="K3" s="1"/>
      <x:c r="L3" s="1"/>
      <x:c r="M3" s="1"/>
      <x:c r="N3" s="1"/>
      <x:c r="O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5" customHeight="1">
      <x:c r="A5" s="16" t="str">
        <x:v>Segment</x:v>
      </x:c>
      <x:c r="B5" s="16" t="str">
        <x:v>Accounts</x:v>
      </x:c>
      <x:c r="C5" s="16" t="str">
        <x:v>Public signal</x:v>
      </x:c>
      <x:c r="D5" s="16" t="str">
        <x:v>Discovery question</x:v>
      </x:c>
      <x:c r="E5" s="16" t="str">
        <x:v>Possible angle (unvalidated)</x:v>
      </x:c>
      <x:c r="F5" s="16" t="str">
        <x:v>Measurement gate</x:v>
      </x:c>
      <x:c r="G5" s="1"/>
      <x:c r="H5" s="1"/>
      <x:c r="I5" s="1"/>
      <x:c r="J5" s="1"/>
      <x:c r="K5" s="1"/>
      <x:c r="L5" s="1"/>
      <x:c r="M5" s="1"/>
      <x:c r="N5" s="1"/>
      <x:c r="O5" s="1"/>
    </x:row>
    <x:row r="6" ht="78" customHeight="1">
      <x:c r="A6" s="23" t="str">
        <x:v>Barber</x:v>
      </x:c>
      <x:c r="B6" s="23" t="n">
        <x:f>COUNTIF('Research Queue'!$C$11:$C$17,A6)</x:f>
        <x:v>2</x:v>
      </x:c>
      <x:c r="C6" s="23" t="str">
        <x:v>Branch lists and booking app / contact routes</x:v>
      </x:c>
      <x:c r="D6" s="23" t="str">
        <x:v>How are chairs, no-shows and cross-location bookings managed?</x:v>
      </x:c>
      <x:c r="E6" s="23" t="str">
        <x:v>Map scheduling workflow before proposing any change.</x:v>
      </x:c>
      <x:c r="F6" s="23" t="str">
        <x:v>Verified buyer conversation</x:v>
      </x:c>
      <x:c r="G6" s="1"/>
      <x:c r="H6" s="1"/>
      <x:c r="I6" s="1"/>
      <x:c r="J6" s="1"/>
      <x:c r="K6" s="1"/>
      <x:c r="L6" s="1"/>
      <x:c r="M6" s="1"/>
      <x:c r="N6" s="1"/>
      <x:c r="O6" s="1"/>
    </x:row>
    <x:row r="7" ht="78" customHeight="1">
      <x:c r="A7" s="23" t="str">
        <x:v>Beauty</x:v>
      </x:c>
      <x:c r="B7" s="23" t="n">
        <x:f>COUNTIF('Research Queue'!$C$11:$C$17,A7)</x:f>
        <x:v>2</x:v>
      </x:c>
      <x:c r="C7" s="23" t="str">
        <x:v>Large salon network / locator</x:v>
      </x:c>
      <x:c r="D7" s="23" t="str">
        <x:v>Who owns booking operations and integration decisions?</x:v>
      </x:c>
      <x:c r="E7" s="23" t="str">
        <x:v>Assess integrations and franchise-level reporting.</x:v>
      </x:c>
      <x:c r="F7" s="23" t="str">
        <x:v>Verified buyer conversation</x:v>
      </x:c>
      <x:c r="G7" s="1"/>
      <x:c r="H7" s="1"/>
      <x:c r="I7" s="1"/>
      <x:c r="J7" s="1"/>
      <x:c r="K7" s="1"/>
      <x:c r="L7" s="1"/>
      <x:c r="M7" s="1"/>
      <x:c r="N7" s="1"/>
      <x:c r="O7" s="1"/>
    </x:row>
    <x:row r="8" ht="78" customHeight="1">
      <x:c r="A8" s="23" t="str">
        <x:v>Spa</x:v>
      </x:c>
      <x:c r="B8" s="23" t="n">
        <x:f>COUNTIF('Research Queue'!$C$11:$C$17,A8)</x:f>
        <x:v>3</x:v>
      </x:c>
      <x:c r="C8" s="23" t="str">
        <x:v>Multi-location and WhatsApp / online booking</x:v>
      </x:c>
      <x:c r="D8" s="23" t="str">
        <x:v>Which locations share capacity and customer records?</x:v>
      </x:c>
      <x:c r="E8" s="23" t="str">
        <x:v>Study handoff, reminders and location reporting.</x:v>
      </x:c>
      <x:c r="F8" s="23" t="str">
        <x:v>Verified buyer conversation</x:v>
      </x:c>
      <x:c r="G8" s="1"/>
      <x:c r="H8" s="1"/>
      <x:c r="I8" s="1"/>
      <x:c r="J8" s="1"/>
      <x:c r="K8" s="1"/>
      <x:c r="L8" s="1"/>
      <x:c r="M8" s="1"/>
      <x:c r="N8" s="1"/>
      <x:c r="O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 ht="45" customHeight="1">
      <x:c r="A11" s="26" t="str">
        <x:v>Decision rule: research a company → verify a responsible buyer → validate the actual problem → only then propose outreach.</x:v>
      </x:c>
      <x:c r="B11" s="26"/>
      <x:c r="C11" s="26"/>
      <x:c r="D11" s="26"/>
      <x:c r="E11" s="26"/>
      <x:c r="F11" s="26"/>
      <x:c r="G11" s="1"/>
      <x:c r="H11" s="1"/>
      <x:c r="I11" s="1"/>
      <x:c r="J11" s="1"/>
      <x:c r="K11" s="1"/>
      <x:c r="L11" s="1"/>
      <x:c r="M11" s="1"/>
      <x:c r="N11" s="1"/>
      <x:c r="O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</x:sheetData>
  <x:mergeCells>
    <x:mergeCell ref="A11:F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29999923706055" hidden="0" customWidth="1"/>
    <x:col min="2" max="2" width="76.66999816894531" hidden="0" customWidth="1"/>
  </x:cols>
  <x:sheetData>
    <x:row r="1" ht="34" customHeight="1">
      <x:c r="A1" s="24" t="str">
        <x:v>METHOD / QA &amp; REFRESH</x:v>
      </x:c>
      <x:c r="B1" s="2"/>
      <x:c r="C1" s="2"/>
      <x:c r="D1" s="2"/>
      <x:c r="E1" s="2"/>
      <x:c r="F1" s="2"/>
      <x:c r="G1" s="2"/>
      <x:c r="H1" s="2"/>
      <x:c r="I1" s="1"/>
      <x:c r="J1" s="1"/>
      <x:c r="K1" s="1"/>
      <x:c r="L1" s="1"/>
      <x:c r="M1" s="1"/>
      <x:c r="N1" s="1"/>
      <x:c r="O1" s="1"/>
    </x:row>
    <x:row r="2" ht="34" customHeight="1">
      <x:c r="A2" s="2"/>
      <x:c r="B2" s="2"/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  <x:c r="O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48" customHeight="1">
      <x:c r="A5" s="28" t="str">
        <x:v>Scope</x:v>
      </x:c>
      <x:c r="B5" s="23" t="str">
        <x:v>Seven real companies; only official public pages. Company record ≠ qualified lead.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48" customHeight="1">
      <x:c r="A6" s="28" t="str">
        <x:v>Data entry</x:v>
      </x:c>
      <x:c r="B6" s="23" t="str">
        <x:v>Blue text is manually researched source input. Green cells calculate duplicate flag, score and next action.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 ht="48" customHeight="1">
      <x:c r="A7" s="28" t="str">
        <x:v>Scoring</x:v>
      </x:c>
      <x:c r="B7" s="23" t="str">
        <x:v>25 for source URL, 15 for evidence text, 5–25 for listed scale, and 10–25 for route; triage only.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 ht="48" customHeight="1">
      <x:c r="A8" s="28" t="str">
        <x:v>Locations</x:v>
      </x:c>
      <x:c r="B8" s="23" t="str">
        <x:v>Figures are source claims, not independently audited; a blank means no reliable count was recorded.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</x:row>
    <x:row r="9" ht="48" customHeight="1">
      <x:c r="A9" s="28" t="str">
        <x:v>Refresh</x:v>
      </x:c>
      <x:c r="B9" s="23" t="str">
        <x:v>Open the evidence URL, update observation date and note, then review changed fields and formula outputs.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 ht="48" customHeight="1">
      <x:c r="A10" s="28" t="str">
        <x:v>Commercial gate</x:v>
      </x:c>
      <x:c r="B10" s="23" t="str">
        <x:v>Do not label any account as buyer, interested or contacted unless independently verified.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 ht="48" customHeight="1">
      <x:c r="A11" s="28" t="str">
        <x:v>Limits</x:v>
      </x:c>
      <x:c r="B11" s="23" t="str">
        <x:v>No personal contacts, emails, revenue, conversions or campaign performance are asserted.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</x:sheetData>
  <x:pageMargins left="0.7" right="0.7" top="0.75" bottom="0.75" header="0.3" footer="0.3"/>
</x:worksheet>
</file>