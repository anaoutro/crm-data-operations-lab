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3232de7aa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Desk" sheetId="1" r:id="R81447439d54f4435"/>
    <x:sheet xmlns:r="http://schemas.openxmlformats.org/officeDocument/2006/relationships" name="Source Intake" sheetId="2" r:id="Re7a2a4dfc62b4653"/>
    <x:sheet xmlns:r="http://schemas.openxmlformats.org/officeDocument/2006/relationships" name="Lead Queue" sheetId="3" r:id="R7fa53ebd72784094"/>
    <x:sheet xmlns:r="http://schemas.openxmlformats.org/officeDocument/2006/relationships" name="Campaign Plan" sheetId="4" r:id="R593f43951b76497b"/>
    <x:sheet xmlns:r="http://schemas.openxmlformats.org/officeDocument/2006/relationships" name="Method and Sources" sheetId="5" r:id="R1f96e5501d58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5"/>
      <x:color rgb="FF15263C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D3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263C"/>
      </x:patternFill>
    </x:fill>
    <x:fill>
      <x:patternFill patternType="solid">
        <x:fgColor rgb="FFEAF1F9"/>
      </x:patternFill>
    </x:fill>
    <x:fill>
      <x:patternFill patternType="solid">
        <x:fgColor rgb="FFFFF0C2"/>
      </x:patternFill>
    </x:fill>
  </x:fills>
  <x:borders count="2">
    <x:border/>
    <x:border>
      <x:bottom style="thin">
        <x:color rgb="FF2254A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E2D2D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56d4fe0124768" /><Relationship Type="http://schemas.openxmlformats.org/officeDocument/2006/relationships/theme" Target="/xl/theme/theme1.xml" Id="Ra2b855dc66df43da" /><Relationship Type="http://schemas.openxmlformats.org/officeDocument/2006/relationships/sharedStrings" Target="/xl/sharedStrings.xml" Id="Rac66c6ab44b84485" /><Relationship Type="http://schemas.openxmlformats.org/officeDocument/2006/relationships/worksheet" Target="/xl/worksheets/sheet1.xml" Id="R81447439d54f4435" /><Relationship Type="http://schemas.openxmlformats.org/officeDocument/2006/relationships/worksheet" Target="/xl/worksheets/sheet2.xml" Id="Re7a2a4dfc62b4653" /><Relationship Type="http://schemas.openxmlformats.org/officeDocument/2006/relationships/worksheet" Target="/xl/worksheets/sheet3.xml" Id="R7fa53ebd72784094" /><Relationship Type="http://schemas.openxmlformats.org/officeDocument/2006/relationships/worksheet" Target="/xl/worksheets/sheet4.xml" Id="R593f43951b76497b" /><Relationship Type="http://schemas.openxmlformats.org/officeDocument/2006/relationships/worksheet" Target="/xl/worksheets/sheet5.xml" Id="R1f96e5501d58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263C"/>
  </x:sheetPr>
  <x:sheetViews>
    <x:sheetView showGridLines="0" workbookViewId="0"/>
  </x:sheetViews>
  <x:sheetFormatPr defaultRowHeight="15"/>
  <x:cols>
    <x:col min="1" max="1" width="32" hidden="0" customWidth="1"/>
    <x:col min="2" max="2" width="45" hidden="0" customWidth="1"/>
    <x:col min="3" max="3" width="4" hidden="0" customWidth="1"/>
    <x:col min="4" max="4" width="25" hidden="0" customWidth="1"/>
    <x:col min="5" max="5" width="16" hidden="0" customWidth="1"/>
    <x:col min="6" max="6" width="17" hidden="0" customWidth="1"/>
    <x:col min="7" max="7" width="4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10" customHeight="1"/>
    <x:row r="2">
      <x:c r="A2" s="1" t="str">
        <x:v>FIELDWORK / B2B ACCOUNT INTELLIGENCE</x:v>
      </x:c>
    </x:row>
    <x:row r="3">
      <x:c r="A3" s="2" t="str">
        <x:v>Public company research | South African appointment businesses | 29 Sep 2026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7" ht="28" customHeight="1">
      <x:c r="A7" s="6" t="str">
        <x:v>Workflow gate</x:v>
      </x:c>
      <x:c r="B7" s="6" t="str">
        <x:v>Count</x:v>
      </x:c>
      <x:c r="D7" s="6" t="str">
        <x:v>Segment</x:v>
      </x:c>
      <x:c r="E7" s="6" t="str">
        <x:v>Accounts</x:v>
      </x:c>
      <x:c r="F7" s="6" t="str">
        <x:v>Priority A</x:v>
      </x:c>
    </x:row>
    <x:row r="8" ht="23" customHeight="1">
      <x:c r="A8" s="7" t="str">
        <x:v>Source rows</x:v>
      </x:c>
      <x:c r="B8" s="7" t="n">
        <x:f>COUNTA('Source Intake'!A7:A18)</x:f>
        <x:v>12</x:v>
      </x:c>
      <x:c r="D8" s="7" t="str">
        <x:v>Barber</x:v>
      </x:c>
      <x:c r="E8" s="7" t="n">
        <x:f>COUNTIFS('Lead Queue'!$C$7:$C$18,D8,'Lead Queue'!$K$7:$K$18,"Account researched")</x:f>
        <x:v>3</x:v>
      </x:c>
      <x:c r="F8" s="7" t="n">
        <x:f>COUNTIFS('Lead Queue'!$C$7:$C$18,D8,'Lead Queue'!$I$7:$I$18,"A / research",'Lead Queue'!$K$7:$K$18,"Account researched")</x:f>
        <x:v>1</x:v>
      </x:c>
    </x:row>
    <x:row r="9" ht="23" customHeight="1">
      <x:c r="A9" s="7" t="str">
        <x:v>Unique researched accounts</x:v>
      </x:c>
      <x:c r="B9" s="7" t="n">
        <x:f>COUNTIF('Lead Queue'!K7:K18,"Account researched")</x:f>
        <x:v>10</x:v>
      </x:c>
      <x:c r="D9" s="7" t="str">
        <x:v>Beauty</x:v>
      </x:c>
      <x:c r="E9" s="7" t="n">
        <x:f>COUNTIFS('Lead Queue'!$C$7:$C$18,D9,'Lead Queue'!$K$7:$K$18,"Account researched")</x:f>
        <x:v>3</x:v>
      </x:c>
      <x:c r="F9" s="7" t="n">
        <x:f>COUNTIFS('Lead Queue'!$C$7:$C$18,D9,'Lead Queue'!$I$7:$I$18,"A / research",'Lead Queue'!$K$7:$K$18,"Account researched")</x:f>
        <x:v>2</x:v>
      </x:c>
    </x:row>
    <x:row r="10" ht="23" customHeight="1">
      <x:c r="A10" s="7" t="str">
        <x:v>Duplicate review</x:v>
      </x:c>
      <x:c r="B10" s="7" t="n">
        <x:f>COUNTIF('Lead Queue'!K7:K18,"QA hold")</x:f>
        <x:v>2</x:v>
      </x:c>
      <x:c r="D10" s="7" t="str">
        <x:v>Spa</x:v>
      </x:c>
      <x:c r="E10" s="7" t="n">
        <x:f>COUNTIFS('Lead Queue'!$C$7:$C$18,D10,'Lead Queue'!$K$7:$K$18,"Account researched")</x:f>
        <x:v>3</x:v>
      </x:c>
      <x:c r="F10" s="7" t="n">
        <x:f>COUNTIFS('Lead Queue'!$C$7:$C$18,D10,'Lead Queue'!$I$7:$I$18,"A / research",'Lead Queue'!$K$7:$K$18,"Account researched")</x:f>
        <x:v>3</x:v>
      </x:c>
    </x:row>
    <x:row r="11" ht="23" customHeight="1">
      <x:c r="A11" s="7" t="str">
        <x:v>A / research</x:v>
      </x:c>
      <x:c r="B11" s="7" t="n">
        <x:f>COUNTIFS('Lead Queue'!I7:I18,"A / research",'Lead Queue'!K7:K18,"Account researched")</x:f>
        <x:v>7</x:v>
      </x:c>
      <x:c r="D11" s="7" t="str">
        <x:v>Wellness</x:v>
      </x:c>
      <x:c r="E11" s="7" t="n">
        <x:f>COUNTIFS('Lead Queue'!$C$7:$C$18,D11,'Lead Queue'!$K$7:$K$18,"Account researched")</x:f>
        <x:v>1</x:v>
      </x:c>
      <x:c r="F11" s="7" t="n">
        <x:f>COUNTIFS('Lead Queue'!$C$7:$C$18,D11,'Lead Queue'!$I$7:$I$18,"A / research",'Lead Queue'!$K$7:$K$18,"Account researched")</x:f>
        <x:v>1</x:v>
      </x:c>
    </x:row>
    <x:row r="12" ht="23" customHeight="1">
      <x:c r="A12" s="7" t="str">
        <x:v>Existing platform or app</x:v>
      </x:c>
      <x:c r="B12" s="7" t="n">
        <x:f>COUNTIFS('Lead Queue'!F7:F18,"external_platform",'Lead Queue'!K7:K18,"Account researched")+COUNTIFS('Lead Queue'!F7:F18,"owned_app",'Lead Queue'!K7:K18,"Account researched")</x:f>
        <x:v>3</x:v>
      </x:c>
    </x:row>
    <x:row r="13" ht="23" customHeight="1">
      <x:c r="A13" s="7" t="str">
        <x:v>Verified buyers</x:v>
      </x:c>
      <x:c r="B13" s="7" t="n">
        <x:f>COUNTIF('Lead Queue'!M7:M18,"Yes")</x:f>
        <x:v>0</x:v>
      </x:c>
    </x:row>
    <x:row r="14" ht="23" customHeight="1">
      <x:c r="A14" s="7" t="str">
        <x:v>Sales ready</x:v>
      </x:c>
      <x:c r="B14" s="7" t="n">
        <x:f>COUNTIF('Lead Queue'!O7:O18,"Yes")</x:f>
        <x:v>0</x:v>
      </x:c>
    </x:row>
    <x:row r="17" ht="28" customHeight="1">
      <x:c r="A17" s="6" t="str">
        <x:v>Step</x:v>
      </x:c>
      <x:c r="B17" s="6" t="str">
        <x:v>Output and control</x:v>
      </x:c>
    </x:row>
    <x:row r="18" ht="23" customHeight="1">
      <x:c r="A18" s="7" t="str">
        <x:v>Find accounts</x:v>
      </x:c>
      <x:c r="B18" s="7" t="str">
        <x:v>Official company pages; no personal data</x:v>
      </x:c>
    </x:row>
    <x:row r="19" ht="23" customHeight="1">
      <x:c r="A19" s="7" t="str">
        <x:v>Clean data</x:v>
      </x:c>
      <x:c r="B19" s="7" t="str">
        <x:v>Normalized names; review duplicates before merge</x:v>
      </x:c>
    </x:row>
    <x:row r="20" ht="23" customHeight="1">
      <x:c r="A20" s="7" t="str">
        <x:v>Prioritize</x:v>
      </x:c>
      <x:c r="B20" s="7" t="str">
        <x:v>Observed signals; no invented purchase intent</x:v>
      </x:c>
    </x:row>
    <x:row r="21" ht="23" customHeight="1">
      <x:c r="A21" s="7" t="str">
        <x:v>Handoff</x:v>
      </x:c>
      <x:c r="B21" s="7" t="str">
        <x:v>CRM account draft; buyer and need unverified</x:v>
      </x:c>
    </x:row>
    <x:row r="24">
      <x:c r="A24" s="2" t="str">
        <x:v>A researched company is a candidate, not a verified sales lead. No messages were sent.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17" hidden="0" customWidth="1"/>
    <x:col min="5" max="5" width="13" hidden="0" customWidth="1"/>
    <x:col min="6" max="6" width="21" hidden="0" customWidth="1"/>
    <x:col min="7" max="7" width="18" hidden="0" customWidth="1"/>
    <x:col min="8" max="8" width="36" hidden="0" customWidth="1"/>
    <x:col min="9" max="9" width="48" hidden="0" customWidth="1"/>
    <x:col min="10" max="10" width="75" hidden="0" customWidth="1"/>
    <x:col min="11" max="11" width="16" hidden="0" customWidth="1"/>
  </x:cols>
  <x:sheetData>
    <x:row r="1" ht="10" customHeight="1"/>
    <x:row r="2">
      <x:c r="A2" s="1" t="str">
        <x:v>SOURCE INTAKE / PRESERVED</x:v>
      </x:c>
    </x:row>
    <x:row r="3">
      <x:c r="A3" s="2" t="str">
        <x:v>Public business pages, URLs and observations. Two repeated rows demonstrate the review gate.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 ht="28" customHeight="1">
      <x:c r="A6" s="6" t="str">
        <x:v>ID</x:v>
      </x:c>
      <x:c r="B6" s="6" t="str">
        <x:v>Company</x:v>
      </x:c>
      <x:c r="C6" s="6" t="str">
        <x:v>Category</x:v>
      </x:c>
      <x:c r="D6" s="6" t="str">
        <x:v>Market</x:v>
      </x:c>
      <x:c r="E6" s="6" t="str">
        <x:v>Locations</x:v>
      </x:c>
      <x:c r="F6" s="6" t="str">
        <x:v>Booking signal</x:v>
      </x:c>
      <x:c r="G6" s="6" t="str">
        <x:v>Vendor</x:v>
      </x:c>
      <x:c r="H6" s="6" t="str">
        <x:v>Website</x:v>
      </x:c>
      <x:c r="I6" s="6" t="str">
        <x:v>Evidence URL</x:v>
      </x:c>
      <x:c r="J6" s="6" t="str">
        <x:v>Observed evidence</x:v>
      </x:c>
      <x:c r="K6" s="6" t="str">
        <x:v>Checked on</x:v>
      </x:c>
    </x:row>
    <x:row r="7" ht="23" customHeight="1">
      <x:c r="A7" s="7" t="str">
        <x:v>FW-001</x:v>
      </x:c>
      <x:c r="B7" s="7" t="str">
        <x:v>Barber Club</x:v>
      </x:c>
      <x:c r="C7" s="7" t="str">
        <x:v>Barber</x:v>
      </x:c>
      <x:c r="D7" s="7" t="str">
        <x:v>South Africa</x:v>
      </x:c>
      <x:c r="E7" s="7" t="n">
        <x:v>11</x:v>
      </x:c>
      <x:c r="F7" s="7" t="str">
        <x:v>website_or_contact</x:v>
      </x:c>
      <x:c r="G7" s="7" t="str">
        <x:v>Unknown</x:v>
      </x:c>
      <x:c r="H7" s="7" t="str">
        <x:v>https://www.barberclub.co.za/</x:v>
      </x:c>
      <x:c r="I7" s="7" t="str">
        <x:v>https://www.barberclub.co.za/branches</x:v>
      </x:c>
      <x:c r="J7" s="7" t="str">
        <x:v>Official branches page lists 11 locations and invites bookings</x:v>
      </x:c>
      <x:c r="K7" s="7" t="str">
        <x:v>2026-09-29</x:v>
      </x:c>
    </x:row>
    <x:row r="8" ht="23" customHeight="1">
      <x:c r="A8" s="7" t="str">
        <x:v>FW-002</x:v>
      </x:c>
      <x:c r="B8" s="7" t="str">
        <x:v>being</x:v>
      </x:c>
      <x:c r="C8" s="7" t="str">
        <x:v>Wellness</x:v>
      </x:c>
      <x:c r="D8" s="7" t="str">
        <x:v>South Africa</x:v>
      </x:c>
      <x:c r="E8" s="7" t="n">
        <x:v>2</x:v>
      </x:c>
      <x:c r="F8" s="7" t="str">
        <x:v>website_or_contact</x:v>
      </x:c>
      <x:c r="G8" s="7" t="str">
        <x:v>Unknown</x:v>
      </x:c>
      <x:c r="H8" s="7" t="str">
        <x:v>https://www.being.co.za/</x:v>
      </x:c>
      <x:c r="I8" s="7" t="str">
        <x:v>https://www.being.co.za/</x:v>
      </x:c>
      <x:c r="J8" s="7" t="str">
        <x:v>Official site describes two Sandton centres and online booking buttons</x:v>
      </x:c>
      <x:c r="K8" s="7" t="str">
        <x:v>2026-09-29</x:v>
      </x:c>
    </x:row>
    <x:row r="9" ht="23" customHeight="1">
      <x:c r="A9" s="7" t="str">
        <x:v>FW-003</x:v>
      </x:c>
      <x:c r="B9" s="7" t="str">
        <x:v>Sorbet</x:v>
      </x:c>
      <x:c r="C9" s="7" t="str">
        <x:v>Beauty</x:v>
      </x:c>
      <x:c r="D9" s="7" t="str">
        <x:v>South Africa</x:v>
      </x:c>
      <x:c r="E9" s="7" t="n">
        <x:v>200</x:v>
      </x:c>
      <x:c r="F9" s="7" t="str">
        <x:v>external_platform</x:v>
      </x:c>
      <x:c r="G9" s="7" t="str">
        <x:v>Zenoti</x:v>
      </x:c>
      <x:c r="H9" s="7" t="str">
        <x:v>https://www.sorbet.co.za/</x:v>
      </x:c>
      <x:c r="I9" s="7" t="str">
        <x:v>https://www.sorbet.co.za/salon</x:v>
      </x:c>
      <x:c r="J9" s="7" t="str">
        <x:v>Official page says over 200 salons and links online booking to Zenoti</x:v>
      </x:c>
      <x:c r="K9" s="7" t="str">
        <x:v>2026-09-29</x:v>
      </x:c>
    </x:row>
    <x:row r="10" ht="23" customHeight="1">
      <x:c r="A10" s="7" t="str">
        <x:v>FW-004</x:v>
      </x:c>
      <x:c r="B10" s="7" t="str">
        <x:v>Perfect 10</x:v>
      </x:c>
      <x:c r="C10" s="7" t="str">
        <x:v>Beauty</x:v>
      </x:c>
      <x:c r="D10" s="7" t="str">
        <x:v>South Africa</x:v>
      </x:c>
      <x:c r="E10" s="7"/>
      <x:c r="F10" s="7" t="str">
        <x:v>website_or_contact</x:v>
      </x:c>
      <x:c r="G10" s="7" t="str">
        <x:v>Unknown</x:v>
      </x:c>
      <x:c r="H10" s="7" t="str">
        <x:v>https://www.perfect10.co.za/</x:v>
      </x:c>
      <x:c r="I10" s="7" t="str">
        <x:v>https://www.perfect10.co.za/</x:v>
      </x:c>
      <x:c r="J10" s="7" t="str">
        <x:v>Official site describes nationwide studios and a locator with booking guidance</x:v>
      </x:c>
      <x:c r="K10" s="7" t="str">
        <x:v>2026-09-29</x:v>
      </x:c>
    </x:row>
    <x:row r="11" ht="23" customHeight="1">
      <x:c r="A11" s="7" t="str">
        <x:v>FW-005</x:v>
      </x:c>
      <x:c r="B11" s="7" t="str">
        <x:v>Camelot Spa Group</x:v>
      </x:c>
      <x:c r="C11" s="7" t="str">
        <x:v>Spa</x:v>
      </x:c>
      <x:c r="D11" s="7" t="str">
        <x:v>South Africa</x:v>
      </x:c>
      <x:c r="E11" s="7" t="n">
        <x:v>16</x:v>
      </x:c>
      <x:c r="F11" s="7" t="str">
        <x:v>website_or_contact</x:v>
      </x:c>
      <x:c r="G11" s="7" t="str">
        <x:v>Unknown</x:v>
      </x:c>
      <x:c r="H11" s="7" t="str">
        <x:v>https://www.camelotspa.co.za/</x:v>
      </x:c>
      <x:c r="I11" s="7" t="str">
        <x:v>https://www.camelotspa.co.za/</x:v>
      </x:c>
      <x:c r="J11" s="7" t="str">
        <x:v>Official site says the group has 16 branches across several countries</x:v>
      </x:c>
      <x:c r="K11" s="7" t="str">
        <x:v>2026-09-29</x:v>
      </x:c>
    </x:row>
    <x:row r="12" ht="23" customHeight="1">
      <x:c r="A12" s="7" t="str">
        <x:v>FW-006</x:v>
      </x:c>
      <x:c r="B12" s="7" t="str">
        <x:v>Life Day Spa Group</x:v>
      </x:c>
      <x:c r="C12" s="7" t="str">
        <x:v>Spa</x:v>
      </x:c>
      <x:c r="D12" s="7" t="str">
        <x:v>South Africa</x:v>
      </x:c>
      <x:c r="E12" s="7" t="n">
        <x:v>11</x:v>
      </x:c>
      <x:c r="F12" s="7" t="str">
        <x:v>external_platform</x:v>
      </x:c>
      <x:c r="G12" s="7" t="str">
        <x:v>ESP Cloud</x:v>
      </x:c>
      <x:c r="H12" s="7" t="str">
        <x:v>https://lifedayspa.co.za/</x:v>
      </x:c>
      <x:c r="I12" s="7" t="str">
        <x:v>https://lifedayspa.co.za/book-a-treatment/</x:v>
      </x:c>
      <x:c r="J12" s="7" t="str">
        <x:v>Official booking page lists 11 locations in South Africa and Namibia</x:v>
      </x:c>
      <x:c r="K12" s="7" t="str">
        <x:v>2026-09-29</x:v>
      </x:c>
    </x:row>
    <x:row r="13" ht="23" customHeight="1">
      <x:c r="A13" s="7" t="str">
        <x:v>FW-007</x:v>
      </x:c>
      <x:c r="B13" s="7" t="str">
        <x:v>Legends Barber</x:v>
      </x:c>
      <x:c r="C13" s="7" t="str">
        <x:v>Barber</x:v>
      </x:c>
      <x:c r="D13" s="7" t="str">
        <x:v>South Africa</x:v>
      </x:c>
      <x:c r="E13" s="7"/>
      <x:c r="F13" s="7" t="str">
        <x:v>owned_app</x:v>
      </x:c>
      <x:c r="G13" s="7" t="str">
        <x:v>Legends app</x:v>
      </x:c>
      <x:c r="H13" s="7" t="str">
        <x:v>https://www.legends-barber.com/</x:v>
      </x:c>
      <x:c r="I13" s="7" t="str">
        <x:v>https://www.legends-barber.com/</x:v>
      </x:c>
      <x:c r="J13" s="7" t="str">
        <x:v>Official FAQ says customers can book through the group's app</x:v>
      </x:c>
      <x:c r="K13" s="7" t="str">
        <x:v>2026-09-29</x:v>
      </x:c>
    </x:row>
    <x:row r="14" ht="23" customHeight="1">
      <x:c r="A14" s="7" t="str">
        <x:v>FW-008</x:v>
      </x:c>
      <x:c r="B14" s="7" t="str">
        <x:v>Sirina Thai Spa</x:v>
      </x:c>
      <x:c r="C14" s="7" t="str">
        <x:v>Spa</x:v>
      </x:c>
      <x:c r="D14" s="7" t="str">
        <x:v>South Africa</x:v>
      </x:c>
      <x:c r="E14" s="7" t="n">
        <x:v>13</x:v>
      </x:c>
      <x:c r="F14" s="7" t="str">
        <x:v>whatsapp</x:v>
      </x:c>
      <x:c r="G14" s="7" t="str">
        <x:v>Unknown</x:v>
      </x:c>
      <x:c r="H14" s="7" t="str">
        <x:v>https://sirinathaispa.co.za/</x:v>
      </x:c>
      <x:c r="I14" s="7" t="str">
        <x:v>https://sirinathaispa.co.za/</x:v>
      </x:c>
      <x:c r="J14" s="7" t="str">
        <x:v>Official site presents 13 spas and directs normal booking to WhatsApp</x:v>
      </x:c>
      <x:c r="K14" s="7" t="str">
        <x:v>2026-09-29</x:v>
      </x:c>
    </x:row>
    <x:row r="15" ht="23" customHeight="1">
      <x:c r="A15" s="7" t="str">
        <x:v>FW-009</x:v>
      </x:c>
      <x:c r="B15" s="7" t="str">
        <x:v>Hair City</x:v>
      </x:c>
      <x:c r="C15" s="7" t="str">
        <x:v>Beauty</x:v>
      </x:c>
      <x:c r="D15" s="7" t="str">
        <x:v>South Africa</x:v>
      </x:c>
      <x:c r="E15" s="7" t="n">
        <x:v>2</x:v>
      </x:c>
      <x:c r="F15" s="7" t="str">
        <x:v>website_or_contact</x:v>
      </x:c>
      <x:c r="G15" s="7" t="str">
        <x:v>Unknown</x:v>
      </x:c>
      <x:c r="H15" s="7" t="str">
        <x:v>https://www.haircity.co.za/</x:v>
      </x:c>
      <x:c r="I15" s="7" t="str">
        <x:v>https://www.haircity.co.za/pages/faq</x:v>
      </x:c>
      <x:c r="J15" s="7" t="str">
        <x:v>Official FAQ names Mall of Africa and Menlyn Park and recommends advance booking</x:v>
      </x:c>
      <x:c r="K15" s="7" t="str">
        <x:v>2026-09-29</x:v>
      </x:c>
    </x:row>
    <x:row r="16" ht="23" customHeight="1">
      <x:c r="A16" s="7" t="str">
        <x:v>FW-010</x:v>
      </x:c>
      <x:c r="B16" s="7" t="str">
        <x:v>Hermanos Barbershop</x:v>
      </x:c>
      <x:c r="C16" s="7" t="str">
        <x:v>Barber</x:v>
      </x:c>
      <x:c r="D16" s="7" t="str">
        <x:v>South Africa</x:v>
      </x:c>
      <x:c r="E16" s="7"/>
      <x:c r="F16" s="7" t="str">
        <x:v>website_or_contact</x:v>
      </x:c>
      <x:c r="G16" s="7" t="str">
        <x:v>Unknown</x:v>
      </x:c>
      <x:c r="H16" s="7" t="str">
        <x:v>https://hermanos.co.za/</x:v>
      </x:c>
      <x:c r="I16" s="7" t="str">
        <x:v>https://hermanos.co.za/</x:v>
      </x:c>
      <x:c r="J16" s="7" t="str">
        <x:v>Official site features a Book Now action and Loop Street branch</x:v>
      </x:c>
      <x:c r="K16" s="7" t="str">
        <x:v>2026-09-29</x:v>
      </x:c>
    </x:row>
    <x:row r="17" ht="23" customHeight="1">
      <x:c r="A17" s="7" t="str">
        <x:v>FW-011</x:v>
      </x:c>
      <x:c r="B17" s="7" t="str">
        <x:v>BARBER CLUB</x:v>
      </x:c>
      <x:c r="C17" s="7" t="str">
        <x:v>Barber</x:v>
      </x:c>
      <x:c r="D17" s="7" t="str">
        <x:v>South Africa</x:v>
      </x:c>
      <x:c r="E17" s="7" t="n">
        <x:v>11</x:v>
      </x:c>
      <x:c r="F17" s="7" t="str">
        <x:v>website_or_contact</x:v>
      </x:c>
      <x:c r="G17" s="7" t="str">
        <x:v>Unknown</x:v>
      </x:c>
      <x:c r="H17" s="7" t="str">
        <x:v>https://www.barberclub.co.za/</x:v>
      </x:c>
      <x:c r="I17" s="7" t="str">
        <x:v>https://www.barberclub.co.za/branches</x:v>
      </x:c>
      <x:c r="J17" s="7" t="str">
        <x:v>Deliberate duplicate to demonstrate the QA queue</x:v>
      </x:c>
      <x:c r="K17" s="7" t="str">
        <x:v>2026-09-29</x:v>
      </x:c>
    </x:row>
    <x:row r="18" ht="23" customHeight="1">
      <x:c r="A18" s="7" t="str">
        <x:v>FW-012</x:v>
      </x:c>
      <x:c r="B18" s="7" t="str">
        <x:v>Sorbet</x:v>
      </x:c>
      <x:c r="C18" s="7" t="str">
        <x:v>Beauty</x:v>
      </x:c>
      <x:c r="D18" s="7" t="str">
        <x:v>South Africa</x:v>
      </x:c>
      <x:c r="E18" s="7" t="n">
        <x:v>200</x:v>
      </x:c>
      <x:c r="F18" s="7" t="str">
        <x:v>external_platform</x:v>
      </x:c>
      <x:c r="G18" s="7" t="str">
        <x:v>Zenoti</x:v>
      </x:c>
      <x:c r="H18" s="7" t="str">
        <x:v>https://www.sorbet.co.za/</x:v>
      </x:c>
      <x:c r="I18" s="7" t="str">
        <x:v>https://www.sorbet.co.za/salon</x:v>
      </x:c>
      <x:c r="J18" s="7" t="str">
        <x:v>Deliberate duplicate to demonstrate the QA queue</x:v>
      </x:c>
      <x:c r="K18" s="7" t="str">
        <x:v>2026-09-29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17" hidden="0" customWidth="1"/>
    <x:col min="5" max="5" width="12" hidden="0" customWidth="1"/>
    <x:col min="6" max="6" width="21" hidden="0" customWidth="1"/>
    <x:col min="7" max="7" width="48" hidden="0" customWidth="1"/>
    <x:col min="8" max="8" width="10" hidden="0" customWidth="1"/>
    <x:col min="9" max="9" width="17" hidden="0" customWidth="1"/>
    <x:col min="10" max="10" width="20" hidden="0" customWidth="1"/>
    <x:col min="11" max="11" width="20" hidden="0" customWidth="1"/>
    <x:col min="12" max="12" width="23" hidden="0" customWidth="1"/>
    <x:col min="13" max="13" width="18" hidden="0" customWidth="1"/>
    <x:col min="14" max="14" width="18" hidden="0" customWidth="1"/>
    <x:col min="15" max="15" width="14" hidden="0" customWidth="1"/>
    <x:col min="16" max="16" width="20" hidden="0" customWidth="1"/>
  </x:cols>
  <x:sheetData>
    <x:row r="1" ht="10" customHeight="1"/>
    <x:row r="2">
      <x:c r="A2" s="1" t="str">
        <x:v>LEAD QUEUE / AUTO QUALIFICATION</x:v>
      </x:c>
    </x:row>
    <x:row r="3">
      <x:c r="A3" s="2" t="str">
        <x:v>Formula-driven account scoring and exception flags. Contact and need remain unverified.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8" customHeight="1">
      <x:c r="A6" s="6" t="str">
        <x:v>ID</x:v>
      </x:c>
      <x:c r="B6" s="6" t="str">
        <x:v>Account (clean)</x:v>
      </x:c>
      <x:c r="C6" s="6" t="str">
        <x:v>Segment</x:v>
      </x:c>
      <x:c r="D6" s="6" t="str">
        <x:v>Market</x:v>
      </x:c>
      <x:c r="E6" s="6" t="str">
        <x:v>Locations</x:v>
      </x:c>
      <x:c r="F6" s="6" t="str">
        <x:v>Booking signal</x:v>
      </x:c>
      <x:c r="G6" s="6" t="str">
        <x:v>Evidence</x:v>
      </x:c>
      <x:c r="H6" s="6" t="str">
        <x:v>Score</x:v>
      </x:c>
      <x:c r="I6" s="6" t="str">
        <x:v>Tier</x:v>
      </x:c>
      <x:c r="J6" s="6" t="str">
        <x:v>Duplicate</x:v>
      </x:c>
      <x:c r="K6" s="6" t="str">
        <x:v>Review status</x:v>
      </x:c>
      <x:c r="L6" s="6" t="str">
        <x:v>Discovery route</x:v>
      </x:c>
      <x:c r="M6" s="6" t="str">
        <x:v>Buyer confirmed</x:v>
      </x:c>
      <x:c r="N6" s="6" t="str">
        <x:v>Need confirmed</x:v>
      </x:c>
      <x:c r="O6" s="6" t="str">
        <x:v>Sales ready</x:v>
      </x:c>
      <x:c r="P6" s="6" t="str">
        <x:v>CRM stage</x:v>
      </x:c>
    </x:row>
    <x:row r="7" ht="23" customHeight="1">
      <x:c r="A7" s="7" t="str">
        <x:f>'Source Intake'!A7</x:f>
        <x:v>FW-001</x:v>
      </x:c>
      <x:c r="B7" s="7" t="str">
        <x:f>TRIM('Source Intake'!B7)</x:f>
        <x:v>Barber Club</x:v>
      </x:c>
      <x:c r="C7" s="7" t="str">
        <x:f>'Source Intake'!C7</x:f>
        <x:v>Barber</x:v>
      </x:c>
      <x:c r="D7" s="7" t="str">
        <x:f>'Source Intake'!D7</x:f>
        <x:v>South Africa</x:v>
      </x:c>
      <x:c r="E7" s="7" t="n">
        <x:f>'Source Intake'!E7</x:f>
        <x:v>11</x:v>
      </x:c>
      <x:c r="F7" s="7" t="str">
        <x:f>'Source Intake'!F7</x:f>
        <x:v>website_or_contact</x:v>
      </x:c>
      <x:c r="G7" s="7" t="str">
        <x:f>'Source Intake'!I7</x:f>
        <x:v>https://www.barberclub.co.za/branches</x:v>
      </x:c>
      <x:c r="H7" s="8" t="n">
        <x:f>IF(E7&gt;=10,30,IF(E7&gt;=3,20,IF(E7&gt;=2,12,5)))+IF(OR(C7="Barber",C7="Beauty",C7="Spa",C7="Wellness"),20,0)+IF(G7&lt;&gt;"",25,0)+IF(F7="whatsapp",20,IF(F7="website_or_contact",15,IF(F7="external_platform",4,IF(F7="owned_app",2,8))))+IF(D7="South Africa",5,0)</x:f>
        <x:v>95</x:v>
      </x:c>
      <x:c r="I7" s="8" t="str">
        <x:f>IF(H7&gt;=75,"A / research",IF(H7&gt;=55,"B / discovery","C / hold"))</x:f>
        <x:v>A / research</x:v>
      </x:c>
      <x:c r="J7" s="8" t="str">
        <x:f>IF(COUNTIF($B$7:B7,B7)&gt;1,"Review duplicate","Unique")</x:f>
        <x:v>Unique</x:v>
      </x:c>
      <x:c r="K7" s="8" t="str">
        <x:f>IF(J7="Review duplicate","QA hold","Account researched")</x:f>
        <x:v>Account researched</x:v>
      </x:c>
      <x:c r="L7" s="8" t="str">
        <x:f>IF(K7="QA hold","Compare source rows",IF(OR(F7="external_platform",F7="owned_app"),"Assess integration","Verify workflow"))</x:f>
        <x:v>Verify workflow</x:v>
      </x:c>
      <x:c r="M7" s="9" t="str">
        <x:v>No</x:v>
      </x:c>
      <x:c r="N7" s="9" t="str">
        <x:v>No</x:v>
      </x:c>
      <x:c r="O7" s="8" t="str">
        <x:f>IF(AND(M7="Yes",N7="Yes",K7="Account researched"),"Yes","No")</x:f>
        <x:v>No</x:v>
      </x:c>
      <x:c r="P7" s="8" t="str">
        <x:f>IF(K7="QA hold","Hold - quality",IF(O7="Yes","Qualified","Research draft"))</x:f>
        <x:v>Research draft</x:v>
      </x:c>
    </x:row>
    <x:row r="8" ht="23" customHeight="1">
      <x:c r="A8" s="7" t="str">
        <x:f>'Source Intake'!A8</x:f>
        <x:v>FW-002</x:v>
      </x:c>
      <x:c r="B8" s="7" t="str">
        <x:f>TRIM('Source Intake'!B8)</x:f>
        <x:v>being</x:v>
      </x:c>
      <x:c r="C8" s="7" t="str">
        <x:f>'Source Intake'!C8</x:f>
        <x:v>Wellness</x:v>
      </x:c>
      <x:c r="D8" s="7" t="str">
        <x:f>'Source Intake'!D8</x:f>
        <x:v>South Africa</x:v>
      </x:c>
      <x:c r="E8" s="7" t="n">
        <x:f>'Source Intake'!E8</x:f>
        <x:v>2</x:v>
      </x:c>
      <x:c r="F8" s="7" t="str">
        <x:f>'Source Intake'!F8</x:f>
        <x:v>website_or_contact</x:v>
      </x:c>
      <x:c r="G8" s="7" t="str">
        <x:f>'Source Intake'!I8</x:f>
        <x:v>https://www.being.co.za/</x:v>
      </x:c>
      <x:c r="H8" s="8" t="n">
        <x:f>IF(E8&gt;=10,30,IF(E8&gt;=3,20,IF(E8&gt;=2,12,5)))+IF(OR(C8="Barber",C8="Beauty",C8="Spa",C8="Wellness"),20,0)+IF(G8&lt;&gt;"",25,0)+IF(F8="whatsapp",20,IF(F8="website_or_contact",15,IF(F8="external_platform",4,IF(F8="owned_app",2,8))))+IF(D8="South Africa",5,0)</x:f>
        <x:v>77</x:v>
      </x:c>
      <x:c r="I8" s="8" t="str">
        <x:f>IF(H8&gt;=75,"A / research",IF(H8&gt;=55,"B / discovery","C / hold"))</x:f>
        <x:v>A / research</x:v>
      </x:c>
      <x:c r="J8" s="8" t="str">
        <x:f>IF(COUNTIF($B$7:B8,B8)&gt;1,"Review duplicate","Unique")</x:f>
        <x:v>Unique</x:v>
      </x:c>
      <x:c r="K8" s="8" t="str">
        <x:f>IF(J8="Review duplicate","QA hold","Account researched")</x:f>
        <x:v>Account researched</x:v>
      </x:c>
      <x:c r="L8" s="8" t="str">
        <x:f>IF(K8="QA hold","Compare source rows",IF(OR(F8="external_platform",F8="owned_app"),"Assess integration","Verify workflow"))</x:f>
        <x:v>Verify workflow</x:v>
      </x:c>
      <x:c r="M8" s="9" t="str">
        <x:v>No</x:v>
      </x:c>
      <x:c r="N8" s="9" t="str">
        <x:v>No</x:v>
      </x:c>
      <x:c r="O8" s="8" t="str">
        <x:f>IF(AND(M8="Yes",N8="Yes",K8="Account researched"),"Yes","No")</x:f>
        <x:v>No</x:v>
      </x:c>
      <x:c r="P8" s="8" t="str">
        <x:f>IF(K8="QA hold","Hold - quality",IF(O8="Yes","Qualified","Research draft"))</x:f>
        <x:v>Research draft</x:v>
      </x:c>
    </x:row>
    <x:row r="9" ht="23" customHeight="1">
      <x:c r="A9" s="7" t="str">
        <x:f>'Source Intake'!A9</x:f>
        <x:v>FW-003</x:v>
      </x:c>
      <x:c r="B9" s="7" t="str">
        <x:f>TRIM('Source Intake'!B9)</x:f>
        <x:v>Sorbet</x:v>
      </x:c>
      <x:c r="C9" s="7" t="str">
        <x:f>'Source Intake'!C9</x:f>
        <x:v>Beauty</x:v>
      </x:c>
      <x:c r="D9" s="7" t="str">
        <x:f>'Source Intake'!D9</x:f>
        <x:v>South Africa</x:v>
      </x:c>
      <x:c r="E9" s="7" t="n">
        <x:f>'Source Intake'!E9</x:f>
        <x:v>200</x:v>
      </x:c>
      <x:c r="F9" s="7" t="str">
        <x:f>'Source Intake'!F9</x:f>
        <x:v>external_platform</x:v>
      </x:c>
      <x:c r="G9" s="7" t="str">
        <x:f>'Source Intake'!I9</x:f>
        <x:v>https://www.sorbet.co.za/salon</x:v>
      </x:c>
      <x:c r="H9" s="8" t="n">
        <x:f>IF(E9&gt;=10,30,IF(E9&gt;=3,20,IF(E9&gt;=2,12,5)))+IF(OR(C9="Barber",C9="Beauty",C9="Spa",C9="Wellness"),20,0)+IF(G9&lt;&gt;"",25,0)+IF(F9="whatsapp",20,IF(F9="website_or_contact",15,IF(F9="external_platform",4,IF(F9="owned_app",2,8))))+IF(D9="South Africa",5,0)</x:f>
        <x:v>84</x:v>
      </x:c>
      <x:c r="I9" s="8" t="str">
        <x:f>IF(H9&gt;=75,"A / research",IF(H9&gt;=55,"B / discovery","C / hold"))</x:f>
        <x:v>A / research</x:v>
      </x:c>
      <x:c r="J9" s="8" t="str">
        <x:f>IF(COUNTIF($B$7:B9,B9)&gt;1,"Review duplicate","Unique")</x:f>
        <x:v>Unique</x:v>
      </x:c>
      <x:c r="K9" s="8" t="str">
        <x:f>IF(J9="Review duplicate","QA hold","Account researched")</x:f>
        <x:v>Account researched</x:v>
      </x:c>
      <x:c r="L9" s="8" t="str">
        <x:f>IF(K9="QA hold","Compare source rows",IF(OR(F9="external_platform",F9="owned_app"),"Assess integration","Verify workflow"))</x:f>
        <x:v>Assess integration</x:v>
      </x:c>
      <x:c r="M9" s="9" t="str">
        <x:v>No</x:v>
      </x:c>
      <x:c r="N9" s="9" t="str">
        <x:v>No</x:v>
      </x:c>
      <x:c r="O9" s="8" t="str">
        <x:f>IF(AND(M9="Yes",N9="Yes",K9="Account researched"),"Yes","No")</x:f>
        <x:v>No</x:v>
      </x:c>
      <x:c r="P9" s="8" t="str">
        <x:f>IF(K9="QA hold","Hold - quality",IF(O9="Yes","Qualified","Research draft"))</x:f>
        <x:v>Research draft</x:v>
      </x:c>
    </x:row>
    <x:row r="10" ht="23" customHeight="1">
      <x:c r="A10" s="7" t="str">
        <x:f>'Source Intake'!A10</x:f>
        <x:v>FW-004</x:v>
      </x:c>
      <x:c r="B10" s="7" t="str">
        <x:f>TRIM('Source Intake'!B10)</x:f>
        <x:v>Perfect 10</x:v>
      </x:c>
      <x:c r="C10" s="7" t="str">
        <x:f>'Source Intake'!C10</x:f>
        <x:v>Beauty</x:v>
      </x:c>
      <x:c r="D10" s="7" t="str">
        <x:f>'Source Intake'!D10</x:f>
        <x:v>South Africa</x:v>
      </x:c>
      <x:c r="E10" s="7" t="n">
        <x:f>'Source Intake'!E10</x:f>
        <x:v>0</x:v>
      </x:c>
      <x:c r="F10" s="7" t="str">
        <x:f>'Source Intake'!F10</x:f>
        <x:v>website_or_contact</x:v>
      </x:c>
      <x:c r="G10" s="7" t="str">
        <x:f>'Source Intake'!I10</x:f>
        <x:v>https://www.perfect10.co.za/</x:v>
      </x:c>
      <x:c r="H10" s="8" t="n">
        <x:f>IF(E10&gt;=10,30,IF(E10&gt;=3,20,IF(E10&gt;=2,12,5)))+IF(OR(C10="Barber",C10="Beauty",C10="Spa",C10="Wellness"),20,0)+IF(G10&lt;&gt;"",25,0)+IF(F10="whatsapp",20,IF(F10="website_or_contact",15,IF(F10="external_platform",4,IF(F10="owned_app",2,8))))+IF(D10="South Africa",5,0)</x:f>
        <x:v>70</x:v>
      </x:c>
      <x:c r="I10" s="8" t="str">
        <x:f>IF(H10&gt;=75,"A / research",IF(H10&gt;=55,"B / discovery","C / hold"))</x:f>
        <x:v>B / discovery</x:v>
      </x:c>
      <x:c r="J10" s="8" t="str">
        <x:f>IF(COUNTIF($B$7:B10,B10)&gt;1,"Review duplicate","Unique")</x:f>
        <x:v>Unique</x:v>
      </x:c>
      <x:c r="K10" s="8" t="str">
        <x:f>IF(J10="Review duplicate","QA hold","Account researched")</x:f>
        <x:v>Account researched</x:v>
      </x:c>
      <x:c r="L10" s="8" t="str">
        <x:f>IF(K10="QA hold","Compare source rows",IF(OR(F10="external_platform",F10="owned_app"),"Assess integration","Verify workflow"))</x:f>
        <x:v>Verify workflow</x:v>
      </x:c>
      <x:c r="M10" s="9" t="str">
        <x:v>No</x:v>
      </x:c>
      <x:c r="N10" s="9" t="str">
        <x:v>No</x:v>
      </x:c>
      <x:c r="O10" s="8" t="str">
        <x:f>IF(AND(M10="Yes",N10="Yes",K10="Account researched"),"Yes","No")</x:f>
        <x:v>No</x:v>
      </x:c>
      <x:c r="P10" s="8" t="str">
        <x:f>IF(K10="QA hold","Hold - quality",IF(O10="Yes","Qualified","Research draft"))</x:f>
        <x:v>Research draft</x:v>
      </x:c>
    </x:row>
    <x:row r="11" ht="23" customHeight="1">
      <x:c r="A11" s="7" t="str">
        <x:f>'Source Intake'!A11</x:f>
        <x:v>FW-005</x:v>
      </x:c>
      <x:c r="B11" s="7" t="str">
        <x:f>TRIM('Source Intake'!B11)</x:f>
        <x:v>Camelot Spa Group</x:v>
      </x:c>
      <x:c r="C11" s="7" t="str">
        <x:f>'Source Intake'!C11</x:f>
        <x:v>Spa</x:v>
      </x:c>
      <x:c r="D11" s="7" t="str">
        <x:f>'Source Intake'!D11</x:f>
        <x:v>South Africa</x:v>
      </x:c>
      <x:c r="E11" s="7" t="n">
        <x:f>'Source Intake'!E11</x:f>
        <x:v>16</x:v>
      </x:c>
      <x:c r="F11" s="7" t="str">
        <x:f>'Source Intake'!F11</x:f>
        <x:v>website_or_contact</x:v>
      </x:c>
      <x:c r="G11" s="7" t="str">
        <x:f>'Source Intake'!I11</x:f>
        <x:v>https://www.camelotspa.co.za/</x:v>
      </x:c>
      <x:c r="H11" s="8" t="n">
        <x:f>IF(E11&gt;=10,30,IF(E11&gt;=3,20,IF(E11&gt;=2,12,5)))+IF(OR(C11="Barber",C11="Beauty",C11="Spa",C11="Wellness"),20,0)+IF(G11&lt;&gt;"",25,0)+IF(F11="whatsapp",20,IF(F11="website_or_contact",15,IF(F11="external_platform",4,IF(F11="owned_app",2,8))))+IF(D11="South Africa",5,0)</x:f>
        <x:v>95</x:v>
      </x:c>
      <x:c r="I11" s="8" t="str">
        <x:f>IF(H11&gt;=75,"A / research",IF(H11&gt;=55,"B / discovery","C / hold"))</x:f>
        <x:v>A / research</x:v>
      </x:c>
      <x:c r="J11" s="8" t="str">
        <x:f>IF(COUNTIF($B$7:B11,B11)&gt;1,"Review duplicate","Unique")</x:f>
        <x:v>Unique</x:v>
      </x:c>
      <x:c r="K11" s="8" t="str">
        <x:f>IF(J11="Review duplicate","QA hold","Account researched")</x:f>
        <x:v>Account researched</x:v>
      </x:c>
      <x:c r="L11" s="8" t="str">
        <x:f>IF(K11="QA hold","Compare source rows",IF(OR(F11="external_platform",F11="owned_app"),"Assess integration","Verify workflow"))</x:f>
        <x:v>Verify workflow</x:v>
      </x:c>
      <x:c r="M11" s="9" t="str">
        <x:v>No</x:v>
      </x:c>
      <x:c r="N11" s="9" t="str">
        <x:v>No</x:v>
      </x:c>
      <x:c r="O11" s="8" t="str">
        <x:f>IF(AND(M11="Yes",N11="Yes",K11="Account researched"),"Yes","No")</x:f>
        <x:v>No</x:v>
      </x:c>
      <x:c r="P11" s="8" t="str">
        <x:f>IF(K11="QA hold","Hold - quality",IF(O11="Yes","Qualified","Research draft"))</x:f>
        <x:v>Research draft</x:v>
      </x:c>
    </x:row>
    <x:row r="12" ht="23" customHeight="1">
      <x:c r="A12" s="7" t="str">
        <x:f>'Source Intake'!A12</x:f>
        <x:v>FW-006</x:v>
      </x:c>
      <x:c r="B12" s="7" t="str">
        <x:f>TRIM('Source Intake'!B12)</x:f>
        <x:v>Life Day Spa Group</x:v>
      </x:c>
      <x:c r="C12" s="7" t="str">
        <x:f>'Source Intake'!C12</x:f>
        <x:v>Spa</x:v>
      </x:c>
      <x:c r="D12" s="7" t="str">
        <x:f>'Source Intake'!D12</x:f>
        <x:v>South Africa</x:v>
      </x:c>
      <x:c r="E12" s="7" t="n">
        <x:f>'Source Intake'!E12</x:f>
        <x:v>11</x:v>
      </x:c>
      <x:c r="F12" s="7" t="str">
        <x:f>'Source Intake'!F12</x:f>
        <x:v>external_platform</x:v>
      </x:c>
      <x:c r="G12" s="7" t="str">
        <x:f>'Source Intake'!I12</x:f>
        <x:v>https://lifedayspa.co.za/book-a-treatment/</x:v>
      </x:c>
      <x:c r="H12" s="8" t="n">
        <x:f>IF(E12&gt;=10,30,IF(E12&gt;=3,20,IF(E12&gt;=2,12,5)))+IF(OR(C12="Barber",C12="Beauty",C12="Spa",C12="Wellness"),20,0)+IF(G12&lt;&gt;"",25,0)+IF(F12="whatsapp",20,IF(F12="website_or_contact",15,IF(F12="external_platform",4,IF(F12="owned_app",2,8))))+IF(D12="South Africa",5,0)</x:f>
        <x:v>84</x:v>
      </x:c>
      <x:c r="I12" s="8" t="str">
        <x:f>IF(H12&gt;=75,"A / research",IF(H12&gt;=55,"B / discovery","C / hold"))</x:f>
        <x:v>A / research</x:v>
      </x:c>
      <x:c r="J12" s="8" t="str">
        <x:f>IF(COUNTIF($B$7:B12,B12)&gt;1,"Review duplicate","Unique")</x:f>
        <x:v>Unique</x:v>
      </x:c>
      <x:c r="K12" s="8" t="str">
        <x:f>IF(J12="Review duplicate","QA hold","Account researched")</x:f>
        <x:v>Account researched</x:v>
      </x:c>
      <x:c r="L12" s="8" t="str">
        <x:f>IF(K12="QA hold","Compare source rows",IF(OR(F12="external_platform",F12="owned_app"),"Assess integration","Verify workflow"))</x:f>
        <x:v>Assess integration</x:v>
      </x:c>
      <x:c r="M12" s="9" t="str">
        <x:v>No</x:v>
      </x:c>
      <x:c r="N12" s="9" t="str">
        <x:v>No</x:v>
      </x:c>
      <x:c r="O12" s="8" t="str">
        <x:f>IF(AND(M12="Yes",N12="Yes",K12="Account researched"),"Yes","No")</x:f>
        <x:v>No</x:v>
      </x:c>
      <x:c r="P12" s="8" t="str">
        <x:f>IF(K12="QA hold","Hold - quality",IF(O12="Yes","Qualified","Research draft"))</x:f>
        <x:v>Research draft</x:v>
      </x:c>
    </x:row>
    <x:row r="13" ht="23" customHeight="1">
      <x:c r="A13" s="7" t="str">
        <x:f>'Source Intake'!A13</x:f>
        <x:v>FW-007</x:v>
      </x:c>
      <x:c r="B13" s="7" t="str">
        <x:f>TRIM('Source Intake'!B13)</x:f>
        <x:v>Legends Barber</x:v>
      </x:c>
      <x:c r="C13" s="7" t="str">
        <x:f>'Source Intake'!C13</x:f>
        <x:v>Barber</x:v>
      </x:c>
      <x:c r="D13" s="7" t="str">
        <x:f>'Source Intake'!D13</x:f>
        <x:v>South Africa</x:v>
      </x:c>
      <x:c r="E13" s="7" t="n">
        <x:f>'Source Intake'!E13</x:f>
        <x:v>0</x:v>
      </x:c>
      <x:c r="F13" s="7" t="str">
        <x:f>'Source Intake'!F13</x:f>
        <x:v>owned_app</x:v>
      </x:c>
      <x:c r="G13" s="7" t="str">
        <x:f>'Source Intake'!I13</x:f>
        <x:v>https://www.legends-barber.com/</x:v>
      </x:c>
      <x:c r="H13" s="8" t="n">
        <x:f>IF(E13&gt;=10,30,IF(E13&gt;=3,20,IF(E13&gt;=2,12,5)))+IF(OR(C13="Barber",C13="Beauty",C13="Spa",C13="Wellness"),20,0)+IF(G13&lt;&gt;"",25,0)+IF(F13="whatsapp",20,IF(F13="website_or_contact",15,IF(F13="external_platform",4,IF(F13="owned_app",2,8))))+IF(D13="South Africa",5,0)</x:f>
        <x:v>57</x:v>
      </x:c>
      <x:c r="I13" s="8" t="str">
        <x:f>IF(H13&gt;=75,"A / research",IF(H13&gt;=55,"B / discovery","C / hold"))</x:f>
        <x:v>B / discovery</x:v>
      </x:c>
      <x:c r="J13" s="8" t="str">
        <x:f>IF(COUNTIF($B$7:B13,B13)&gt;1,"Review duplicate","Unique")</x:f>
        <x:v>Unique</x:v>
      </x:c>
      <x:c r="K13" s="8" t="str">
        <x:f>IF(J13="Review duplicate","QA hold","Account researched")</x:f>
        <x:v>Account researched</x:v>
      </x:c>
      <x:c r="L13" s="8" t="str">
        <x:f>IF(K13="QA hold","Compare source rows",IF(OR(F13="external_platform",F13="owned_app"),"Assess integration","Verify workflow"))</x:f>
        <x:v>Assess integration</x:v>
      </x:c>
      <x:c r="M13" s="9" t="str">
        <x:v>No</x:v>
      </x:c>
      <x:c r="N13" s="9" t="str">
        <x:v>No</x:v>
      </x:c>
      <x:c r="O13" s="8" t="str">
        <x:f>IF(AND(M13="Yes",N13="Yes",K13="Account researched"),"Yes","No")</x:f>
        <x:v>No</x:v>
      </x:c>
      <x:c r="P13" s="8" t="str">
        <x:f>IF(K13="QA hold","Hold - quality",IF(O13="Yes","Qualified","Research draft"))</x:f>
        <x:v>Research draft</x:v>
      </x:c>
    </x:row>
    <x:row r="14" ht="23" customHeight="1">
      <x:c r="A14" s="7" t="str">
        <x:f>'Source Intake'!A14</x:f>
        <x:v>FW-008</x:v>
      </x:c>
      <x:c r="B14" s="7" t="str">
        <x:f>TRIM('Source Intake'!B14)</x:f>
        <x:v>Sirina Thai Spa</x:v>
      </x:c>
      <x:c r="C14" s="7" t="str">
        <x:f>'Source Intake'!C14</x:f>
        <x:v>Spa</x:v>
      </x:c>
      <x:c r="D14" s="7" t="str">
        <x:f>'Source Intake'!D14</x:f>
        <x:v>South Africa</x:v>
      </x:c>
      <x:c r="E14" s="7" t="n">
        <x:f>'Source Intake'!E14</x:f>
        <x:v>13</x:v>
      </x:c>
      <x:c r="F14" s="7" t="str">
        <x:f>'Source Intake'!F14</x:f>
        <x:v>whatsapp</x:v>
      </x:c>
      <x:c r="G14" s="7" t="str">
        <x:f>'Source Intake'!I14</x:f>
        <x:v>https://sirinathaispa.co.za/</x:v>
      </x:c>
      <x:c r="H14" s="8" t="n">
        <x:f>IF(E14&gt;=10,30,IF(E14&gt;=3,20,IF(E14&gt;=2,12,5)))+IF(OR(C14="Barber",C14="Beauty",C14="Spa",C14="Wellness"),20,0)+IF(G14&lt;&gt;"",25,0)+IF(F14="whatsapp",20,IF(F14="website_or_contact",15,IF(F14="external_platform",4,IF(F14="owned_app",2,8))))+IF(D14="South Africa",5,0)</x:f>
        <x:v>100</x:v>
      </x:c>
      <x:c r="I14" s="8" t="str">
        <x:f>IF(H14&gt;=75,"A / research",IF(H14&gt;=55,"B / discovery","C / hold"))</x:f>
        <x:v>A / research</x:v>
      </x:c>
      <x:c r="J14" s="8" t="str">
        <x:f>IF(COUNTIF($B$7:B14,B14)&gt;1,"Review duplicate","Unique")</x:f>
        <x:v>Unique</x:v>
      </x:c>
      <x:c r="K14" s="8" t="str">
        <x:f>IF(J14="Review duplicate","QA hold","Account researched")</x:f>
        <x:v>Account researched</x:v>
      </x:c>
      <x:c r="L14" s="8" t="str">
        <x:f>IF(K14="QA hold","Compare source rows",IF(OR(F14="external_platform",F14="owned_app"),"Assess integration","Verify workflow"))</x:f>
        <x:v>Verify workflow</x:v>
      </x:c>
      <x:c r="M14" s="9" t="str">
        <x:v>No</x:v>
      </x:c>
      <x:c r="N14" s="9" t="str">
        <x:v>No</x:v>
      </x:c>
      <x:c r="O14" s="8" t="str">
        <x:f>IF(AND(M14="Yes",N14="Yes",K14="Account researched"),"Yes","No")</x:f>
        <x:v>No</x:v>
      </x:c>
      <x:c r="P14" s="8" t="str">
        <x:f>IF(K14="QA hold","Hold - quality",IF(O14="Yes","Qualified","Research draft"))</x:f>
        <x:v>Research draft</x:v>
      </x:c>
    </x:row>
    <x:row r="15" ht="23" customHeight="1">
      <x:c r="A15" s="7" t="str">
        <x:f>'Source Intake'!A15</x:f>
        <x:v>FW-009</x:v>
      </x:c>
      <x:c r="B15" s="7" t="str">
        <x:f>TRIM('Source Intake'!B15)</x:f>
        <x:v>Hair City</x:v>
      </x:c>
      <x:c r="C15" s="7" t="str">
        <x:f>'Source Intake'!C15</x:f>
        <x:v>Beauty</x:v>
      </x:c>
      <x:c r="D15" s="7" t="str">
        <x:f>'Source Intake'!D15</x:f>
        <x:v>South Africa</x:v>
      </x:c>
      <x:c r="E15" s="7" t="n">
        <x:f>'Source Intake'!E15</x:f>
        <x:v>2</x:v>
      </x:c>
      <x:c r="F15" s="7" t="str">
        <x:f>'Source Intake'!F15</x:f>
        <x:v>website_or_contact</x:v>
      </x:c>
      <x:c r="G15" s="7" t="str">
        <x:f>'Source Intake'!I15</x:f>
        <x:v>https://www.haircity.co.za/pages/faq</x:v>
      </x:c>
      <x:c r="H15" s="8" t="n">
        <x:f>IF(E15&gt;=10,30,IF(E15&gt;=3,20,IF(E15&gt;=2,12,5)))+IF(OR(C15="Barber",C15="Beauty",C15="Spa",C15="Wellness"),20,0)+IF(G15&lt;&gt;"",25,0)+IF(F15="whatsapp",20,IF(F15="website_or_contact",15,IF(F15="external_platform",4,IF(F15="owned_app",2,8))))+IF(D15="South Africa",5,0)</x:f>
        <x:v>77</x:v>
      </x:c>
      <x:c r="I15" s="8" t="str">
        <x:f>IF(H15&gt;=75,"A / research",IF(H15&gt;=55,"B / discovery","C / hold"))</x:f>
        <x:v>A / research</x:v>
      </x:c>
      <x:c r="J15" s="8" t="str">
        <x:f>IF(COUNTIF($B$7:B15,B15)&gt;1,"Review duplicate","Unique")</x:f>
        <x:v>Unique</x:v>
      </x:c>
      <x:c r="K15" s="8" t="str">
        <x:f>IF(J15="Review duplicate","QA hold","Account researched")</x:f>
        <x:v>Account researched</x:v>
      </x:c>
      <x:c r="L15" s="8" t="str">
        <x:f>IF(K15="QA hold","Compare source rows",IF(OR(F15="external_platform",F15="owned_app"),"Assess integration","Verify workflow"))</x:f>
        <x:v>Verify workflow</x:v>
      </x:c>
      <x:c r="M15" s="9" t="str">
        <x:v>No</x:v>
      </x:c>
      <x:c r="N15" s="9" t="str">
        <x:v>No</x:v>
      </x:c>
      <x:c r="O15" s="8" t="str">
        <x:f>IF(AND(M15="Yes",N15="Yes",K15="Account researched"),"Yes","No")</x:f>
        <x:v>No</x:v>
      </x:c>
      <x:c r="P15" s="8" t="str">
        <x:f>IF(K15="QA hold","Hold - quality",IF(O15="Yes","Qualified","Research draft"))</x:f>
        <x:v>Research draft</x:v>
      </x:c>
    </x:row>
    <x:row r="16" ht="23" customHeight="1">
      <x:c r="A16" s="7" t="str">
        <x:f>'Source Intake'!A16</x:f>
        <x:v>FW-010</x:v>
      </x:c>
      <x:c r="B16" s="7" t="str">
        <x:f>TRIM('Source Intake'!B16)</x:f>
        <x:v>Hermanos Barbershop</x:v>
      </x:c>
      <x:c r="C16" s="7" t="str">
        <x:f>'Source Intake'!C16</x:f>
        <x:v>Barber</x:v>
      </x:c>
      <x:c r="D16" s="7" t="str">
        <x:f>'Source Intake'!D16</x:f>
        <x:v>South Africa</x:v>
      </x:c>
      <x:c r="E16" s="7" t="n">
        <x:f>'Source Intake'!E16</x:f>
        <x:v>0</x:v>
      </x:c>
      <x:c r="F16" s="7" t="str">
        <x:f>'Source Intake'!F16</x:f>
        <x:v>website_or_contact</x:v>
      </x:c>
      <x:c r="G16" s="7" t="str">
        <x:f>'Source Intake'!I16</x:f>
        <x:v>https://hermanos.co.za/</x:v>
      </x:c>
      <x:c r="H16" s="8" t="n">
        <x:f>IF(E16&gt;=10,30,IF(E16&gt;=3,20,IF(E16&gt;=2,12,5)))+IF(OR(C16="Barber",C16="Beauty",C16="Spa",C16="Wellness"),20,0)+IF(G16&lt;&gt;"",25,0)+IF(F16="whatsapp",20,IF(F16="website_or_contact",15,IF(F16="external_platform",4,IF(F16="owned_app",2,8))))+IF(D16="South Africa",5,0)</x:f>
        <x:v>70</x:v>
      </x:c>
      <x:c r="I16" s="8" t="str">
        <x:f>IF(H16&gt;=75,"A / research",IF(H16&gt;=55,"B / discovery","C / hold"))</x:f>
        <x:v>B / discovery</x:v>
      </x:c>
      <x:c r="J16" s="8" t="str">
        <x:f>IF(COUNTIF($B$7:B16,B16)&gt;1,"Review duplicate","Unique")</x:f>
        <x:v>Unique</x:v>
      </x:c>
      <x:c r="K16" s="8" t="str">
        <x:f>IF(J16="Review duplicate","QA hold","Account researched")</x:f>
        <x:v>Account researched</x:v>
      </x:c>
      <x:c r="L16" s="8" t="str">
        <x:f>IF(K16="QA hold","Compare source rows",IF(OR(F16="external_platform",F16="owned_app"),"Assess integration","Verify workflow"))</x:f>
        <x:v>Verify workflow</x:v>
      </x:c>
      <x:c r="M16" s="9" t="str">
        <x:v>No</x:v>
      </x:c>
      <x:c r="N16" s="9" t="str">
        <x:v>No</x:v>
      </x:c>
      <x:c r="O16" s="8" t="str">
        <x:f>IF(AND(M16="Yes",N16="Yes",K16="Account researched"),"Yes","No")</x:f>
        <x:v>No</x:v>
      </x:c>
      <x:c r="P16" s="8" t="str">
        <x:f>IF(K16="QA hold","Hold - quality",IF(O16="Yes","Qualified","Research draft"))</x:f>
        <x:v>Research draft</x:v>
      </x:c>
    </x:row>
    <x:row r="17" ht="23" customHeight="1">
      <x:c r="A17" s="7" t="str">
        <x:f>'Source Intake'!A17</x:f>
        <x:v>FW-011</x:v>
      </x:c>
      <x:c r="B17" s="7" t="str">
        <x:f>TRIM('Source Intake'!B17)</x:f>
        <x:v>BARBER CLUB</x:v>
      </x:c>
      <x:c r="C17" s="7" t="str">
        <x:f>'Source Intake'!C17</x:f>
        <x:v>Barber</x:v>
      </x:c>
      <x:c r="D17" s="7" t="str">
        <x:f>'Source Intake'!D17</x:f>
        <x:v>South Africa</x:v>
      </x:c>
      <x:c r="E17" s="7" t="n">
        <x:f>'Source Intake'!E17</x:f>
        <x:v>11</x:v>
      </x:c>
      <x:c r="F17" s="7" t="str">
        <x:f>'Source Intake'!F17</x:f>
        <x:v>website_or_contact</x:v>
      </x:c>
      <x:c r="G17" s="7" t="str">
        <x:f>'Source Intake'!I17</x:f>
        <x:v>https://www.barberclub.co.za/branches</x:v>
      </x:c>
      <x:c r="H17" s="8" t="n">
        <x:f>IF(E17&gt;=10,30,IF(E17&gt;=3,20,IF(E17&gt;=2,12,5)))+IF(OR(C17="Barber",C17="Beauty",C17="Spa",C17="Wellness"),20,0)+IF(G17&lt;&gt;"",25,0)+IF(F17="whatsapp",20,IF(F17="website_or_contact",15,IF(F17="external_platform",4,IF(F17="owned_app",2,8))))+IF(D17="South Africa",5,0)</x:f>
        <x:v>95</x:v>
      </x:c>
      <x:c r="I17" s="8" t="str">
        <x:f>IF(H17&gt;=75,"A / research",IF(H17&gt;=55,"B / discovery","C / hold"))</x:f>
        <x:v>A / research</x:v>
      </x:c>
      <x:c r="J17" s="8" t="str">
        <x:f>IF(COUNTIF($B$7:B17,B17)&gt;1,"Review duplicate","Unique")</x:f>
        <x:v>Review duplicate</x:v>
      </x:c>
      <x:c r="K17" s="8" t="str">
        <x:f>IF(J17="Review duplicate","QA hold","Account researched")</x:f>
        <x:v>QA hold</x:v>
      </x:c>
      <x:c r="L17" s="8" t="str">
        <x:f>IF(K17="QA hold","Compare source rows",IF(OR(F17="external_platform",F17="owned_app"),"Assess integration","Verify workflow"))</x:f>
        <x:v>Compare source rows</x:v>
      </x:c>
      <x:c r="M17" s="9" t="str">
        <x:v>No</x:v>
      </x:c>
      <x:c r="N17" s="9" t="str">
        <x:v>No</x:v>
      </x:c>
      <x:c r="O17" s="8" t="str">
        <x:f>IF(AND(M17="Yes",N17="Yes",K17="Account researched"),"Yes","No")</x:f>
        <x:v>No</x:v>
      </x:c>
      <x:c r="P17" s="8" t="str">
        <x:f>IF(K17="QA hold","Hold - quality",IF(O17="Yes","Qualified","Research draft"))</x:f>
        <x:v>Hold - quality</x:v>
      </x:c>
    </x:row>
    <x:row r="18" ht="23" customHeight="1">
      <x:c r="A18" s="7" t="str">
        <x:f>'Source Intake'!A18</x:f>
        <x:v>FW-012</x:v>
      </x:c>
      <x:c r="B18" s="7" t="str">
        <x:f>TRIM('Source Intake'!B18)</x:f>
        <x:v>Sorbet</x:v>
      </x:c>
      <x:c r="C18" s="7" t="str">
        <x:f>'Source Intake'!C18</x:f>
        <x:v>Beauty</x:v>
      </x:c>
      <x:c r="D18" s="7" t="str">
        <x:f>'Source Intake'!D18</x:f>
        <x:v>South Africa</x:v>
      </x:c>
      <x:c r="E18" s="7" t="n">
        <x:f>'Source Intake'!E18</x:f>
        <x:v>200</x:v>
      </x:c>
      <x:c r="F18" s="7" t="str">
        <x:f>'Source Intake'!F18</x:f>
        <x:v>external_platform</x:v>
      </x:c>
      <x:c r="G18" s="7" t="str">
        <x:f>'Source Intake'!I18</x:f>
        <x:v>https://www.sorbet.co.za/salon</x:v>
      </x:c>
      <x:c r="H18" s="8" t="n">
        <x:f>IF(E18&gt;=10,30,IF(E18&gt;=3,20,IF(E18&gt;=2,12,5)))+IF(OR(C18="Barber",C18="Beauty",C18="Spa",C18="Wellness"),20,0)+IF(G18&lt;&gt;"",25,0)+IF(F18="whatsapp",20,IF(F18="website_or_contact",15,IF(F18="external_platform",4,IF(F18="owned_app",2,8))))+IF(D18="South Africa",5,0)</x:f>
        <x:v>84</x:v>
      </x:c>
      <x:c r="I18" s="8" t="str">
        <x:f>IF(H18&gt;=75,"A / research",IF(H18&gt;=55,"B / discovery","C / hold"))</x:f>
        <x:v>A / research</x:v>
      </x:c>
      <x:c r="J18" s="8" t="str">
        <x:f>IF(COUNTIF($B$7:B18,B18)&gt;1,"Review duplicate","Unique")</x:f>
        <x:v>Review duplicate</x:v>
      </x:c>
      <x:c r="K18" s="8" t="str">
        <x:f>IF(J18="Review duplicate","QA hold","Account researched")</x:f>
        <x:v>QA hold</x:v>
      </x:c>
      <x:c r="L18" s="8" t="str">
        <x:f>IF(K18="QA hold","Compare source rows",IF(OR(F18="external_platform",F18="owned_app"),"Assess integration","Verify workflow"))</x:f>
        <x:v>Compare source rows</x:v>
      </x:c>
      <x:c r="M18" s="9" t="str">
        <x:v>No</x:v>
      </x:c>
      <x:c r="N18" s="9" t="str">
        <x:v>No</x:v>
      </x:c>
      <x:c r="O18" s="8" t="str">
        <x:f>IF(AND(M18="Yes",N18="Yes",K18="Account researched"),"Yes","No")</x:f>
        <x:v>No</x:v>
      </x:c>
      <x:c r="P18" s="8" t="str">
        <x:f>IF(K18="QA hold","Hold - quality",IF(O18="Yes","Qualified","Research draft"))</x:f>
        <x:v>Hold - quality</x:v>
      </x:c>
    </x:row>
  </x:sheetData>
  <x:conditionalFormatting sqref="J7:J18">
    <x:cfRule type="containsText" dxfId="0" priority="1" operator="containsText" text="Review"/>
  </x:conditionalFormatting>
  <x:conditionalFormatting sqref="H7:H18">
    <x:cfRule type="colorScale" priority="2">
      <x:colorScale>
        <x:cfvo type="min"/>
        <x:cfvo type="percentile" val="50"/>
        <x:cfvo type="max"/>
        <x:color rgb="FFF6E9CC"/>
        <x:color rgb="FFDEE9F8"/>
        <x:color rgb="FFBEE8D4"/>
      </x:colorScale>
    </x:cfRule>
  </x:conditionalFormatting>
  <x:dataValidations count="1">
    <x:dataValidation type="list" sqref="M7:N18">
      <x:formula1>"No,Yes"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27BAF"/>
  </x:sheetPr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49" hidden="0" customWidth="1"/>
    <x:col min="5" max="5" width="31" hidden="0" customWidth="1"/>
    <x:col min="6" max="6" width="17" hidden="0" customWidth="1"/>
    <x:col min="7" max="7" width="18" hidden="0" customWidth="1"/>
    <x:col min="8" max="8" width="8" hidden="0" customWidth="1"/>
  </x:cols>
  <x:sheetData>
    <x:row r="1" ht="10" customHeight="1"/>
    <x:row r="2">
      <x:c r="A2" s="1" t="str">
        <x:v>B2B MARKETING / SEGMENT PLAN</x:v>
      </x:c>
    </x:row>
    <x:row r="3">
      <x:c r="A3" s="2" t="str">
        <x:v>Marketing here means segment choice, a relevant message and a metric. Campaigns have not been launched.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7" ht="28" customHeight="1">
      <x:c r="A7" s="6" t="str">
        <x:v>Segment</x:v>
      </x:c>
      <x:c r="B7" s="6" t="str">
        <x:v>Account count</x:v>
      </x:c>
      <x:c r="C7" s="6" t="str">
        <x:v>Channel</x:v>
      </x:c>
      <x:c r="D7" s="6" t="str">
        <x:v>Message hypothesis</x:v>
      </x:c>
      <x:c r="E7" s="6" t="str">
        <x:v>Success metric</x:v>
      </x:c>
      <x:c r="F7" s="6" t="str">
        <x:v>Hours/account</x:v>
      </x:c>
      <x:c r="G7" s="6" t="str">
        <x:v>Planned hours</x:v>
      </x:c>
    </x:row>
    <x:row r="8" ht="23" customHeight="1">
      <x:c r="A8" s="7" t="str">
        <x:v>Barber</x:v>
      </x:c>
      <x:c r="B8" s="7" t="n">
        <x:f>COUNTIFS('Lead Queue'!$C$7:$C$18,A8,'Lead Queue'!$K$7:$K$18,"Account researched")</x:f>
        <x:v>3</x:v>
      </x:c>
      <x:c r="C8" s="7" t="str">
        <x:v>Manual research</x:v>
      </x:c>
      <x:c r="D8" s="7" t="str">
        <x:v>Validate branch scheduling and staff capacity</x:v>
      </x:c>
      <x:c r="E8" s="7" t="str">
        <x:v>Verified buyer conversations</x:v>
      </x:c>
      <x:c r="F8" s="10" t="n">
        <x:v>0.75</x:v>
      </x:c>
      <x:c r="G8" s="11" t="n">
        <x:f>B8*F8</x:f>
        <x:v>2.25</x:v>
      </x:c>
    </x:row>
    <x:row r="9" ht="23" customHeight="1">
      <x:c r="A9" s="7" t="str">
        <x:v>Beauty</x:v>
      </x:c>
      <x:c r="B9" s="7" t="n">
        <x:f>COUNTIFS('Lead Queue'!$C$7:$C$18,A9,'Lead Queue'!$K$7:$K$18,"Account researched")</x:f>
        <x:v>3</x:v>
      </x:c>
      <x:c r="C9" s="7" t="str">
        <x:v>Manual research</x:v>
      </x:c>
      <x:c r="D9" s="7" t="str">
        <x:v>Explore multi-site booking and reporting needs</x:v>
      </x:c>
      <x:c r="E9" s="7" t="str">
        <x:v>Verified buyer conversations</x:v>
      </x:c>
      <x:c r="F9" s="10" t="n">
        <x:v>0.9</x:v>
      </x:c>
      <x:c r="G9" s="11" t="n">
        <x:f>B9*F9</x:f>
        <x:v>2.7</x:v>
      </x:c>
    </x:row>
    <x:row r="10" ht="23" customHeight="1">
      <x:c r="A10" s="7" t="str">
        <x:v>Spa</x:v>
      </x:c>
      <x:c r="B10" s="7" t="n">
        <x:f>COUNTIFS('Lead Queue'!$C$7:$C$18,A10,'Lead Queue'!$K$7:$K$18,"Account researched")</x:f>
        <x:v>3</x:v>
      </x:c>
      <x:c r="C10" s="7" t="str">
        <x:v>Manual research</x:v>
      </x:c>
      <x:c r="D10" s="7" t="str">
        <x:v>Map treatment availability and integrations</x:v>
      </x:c>
      <x:c r="E10" s="7" t="str">
        <x:v>Verified buyer conversations</x:v>
      </x:c>
      <x:c r="F10" s="10" t="n">
        <x:v>1.05</x:v>
      </x:c>
      <x:c r="G10" s="11" t="n">
        <x:f>B10*F10</x:f>
        <x:v>3.1500000000000004</x:v>
      </x:c>
    </x:row>
    <x:row r="11" ht="23" customHeight="1">
      <x:c r="A11" s="7" t="str">
        <x:v>Wellness</x:v>
      </x:c>
      <x:c r="B11" s="7" t="n">
        <x:f>COUNTIFS('Lead Queue'!$C$7:$C$18,A11,'Lead Queue'!$K$7:$K$18,"Account researched")</x:f>
        <x:v>1</x:v>
      </x:c>
      <x:c r="C11" s="7" t="str">
        <x:v>Manual research</x:v>
      </x:c>
      <x:c r="D11" s="7" t="str">
        <x:v>Understand booking and repeat-visit workflow</x:v>
      </x:c>
      <x:c r="E11" s="7" t="str">
        <x:v>Verified buyer conversations</x:v>
      </x:c>
      <x:c r="F11" s="10" t="n">
        <x:v>1.2</x:v>
      </x:c>
      <x:c r="G11" s="11" t="n">
        <x:f>B11*F11</x:f>
        <x:v>1.2</x:v>
      </x:c>
    </x:row>
    <x:row r="14" ht="28" customHeight="1">
      <x:c r="A14" s="6" t="str">
        <x:v>Experiment</x:v>
      </x:c>
      <x:c r="B14" s="6" t="str">
        <x:v>Status</x:v>
      </x:c>
      <x:c r="C14" s="6" t="str">
        <x:v>Evidence needed</x:v>
      </x:c>
      <x:c r="D14" s="6" t="str">
        <x:v>Hypothesis to test</x:v>
      </x:c>
    </x:row>
    <x:row r="15" ht="23" customHeight="1">
      <x:c r="A15" s="7" t="str">
        <x:v>A: multi-location</x:v>
      </x:c>
      <x:c r="B15" s="7" t="str">
        <x:v>Not launched</x:v>
      </x:c>
      <x:c r="C15" s="7" t="str">
        <x:v>Buyer interview</x:v>
      </x:c>
      <x:c r="D15" s="7" t="str">
        <x:v>Shared view across branches may matter</x:v>
      </x:c>
    </x:row>
    <x:row r="16" ht="23" customHeight="1">
      <x:c r="A16" s="7" t="str">
        <x:v>B: appointment flow</x:v>
      </x:c>
      <x:c r="B16" s="7" t="str">
        <x:v>Not launched</x:v>
      </x:c>
      <x:c r="C16" s="7" t="str">
        <x:v>Process baseline</x:v>
      </x:c>
      <x:c r="D16" s="7" t="str">
        <x:v>Manual handoffs may create friction</x:v>
      </x:c>
    </x:row>
    <x:row r="17" ht="23" customHeight="1">
      <x:c r="A17" s="7" t="str">
        <x:v>C: integration</x:v>
      </x:c>
      <x:c r="B17" s="7" t="str">
        <x:v>Not launched</x:v>
      </x:c>
      <x:c r="C17" s="7" t="str">
        <x:v>Vendor and IT owner</x:v>
      </x:c>
      <x:c r="D17" s="7" t="str">
        <x:v>Existing platform may call for integration</x:v>
      </x:c>
    </x:row>
    <x:row r="20">
      <x:c r="A20" t="str">
        <x:v>Planned hours are editable capacity assumptions, not campaign outcomes.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B9AAD"/>
  </x:sheetPr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73" hidden="0" customWidth="1"/>
    <x:col min="4" max="4" width="5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10" customHeight="1"/>
    <x:row r="2">
      <x:c r="A2" s="1" t="str">
        <x:v>METHOD / DATA CONTRACT</x:v>
      </x:c>
    </x:row>
    <x:row r="3">
      <x:c r="A3" s="2" t="str">
        <x:v>Actual source pages, score rules, quality gates and delivery limits.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28" customHeight="1">
      <x:c r="A6" s="6" t="str">
        <x:v>Rule</x:v>
      </x:c>
      <x:c r="B6" s="6" t="str">
        <x:v>Implementation</x:v>
      </x:c>
      <x:c r="C6" s="6" t="str">
        <x:v>Why it matters</x:v>
      </x:c>
    </x:row>
    <x:row r="7" ht="23" customHeight="1">
      <x:c r="A7" s="7" t="str">
        <x:v>B2B</x:v>
      </x:c>
      <x:c r="B7" s="7" t="str">
        <x:v>Businesses are the possible buyers of an appointment product</x:v>
      </x:c>
      <x:c r="C7" s="7" t="str">
        <x:v>No consumer profiles</x:v>
      </x:c>
    </x:row>
    <x:row r="8" ht="23" customHeight="1">
      <x:c r="A8" s="7" t="str">
        <x:v>Lead research</x:v>
      </x:c>
      <x:c r="B8" s="7" t="str">
        <x:v>10 distinct companies with public official sources</x:v>
      </x:c>
      <x:c r="C8" s="7" t="str">
        <x:v>A candidate account is not a validated contact</x:v>
      </x:c>
    </x:row>
    <x:row r="9" ht="23" customHeight="1">
      <x:c r="A9" s="7" t="str">
        <x:v>Score</x:v>
      </x:c>
      <x:c r="B9" s="7" t="str">
        <x:v>Scale 30 + category 20 + source 25 + booking 20 + market 5</x:v>
      </x:c>
      <x:c r="C9" s="7" t="str">
        <x:v>Heuristic for what to research next</x:v>
      </x:c>
    </x:row>
    <x:row r="10" ht="23" customHeight="1">
      <x:c r="A10" s="7" t="str">
        <x:v>Incumbent stack</x:v>
      </x:c>
      <x:c r="B10" s="7" t="str">
        <x:v>Existing platform or app lowers booking points</x:v>
      </x:c>
      <x:c r="C10" s="7" t="str">
        <x:v>Prevents assuming existing booking equals unmet need</x:v>
      </x:c>
    </x:row>
    <x:row r="11" ht="23" customHeight="1">
      <x:c r="A11" s="7" t="str">
        <x:v>Deduplication</x:v>
      </x:c>
      <x:c r="B11" s="7" t="str">
        <x:v>Normalized name and manual exception queue</x:v>
      </x:c>
      <x:c r="C11" s="7" t="str">
        <x:v>No automatic destructive merge</x:v>
      </x:c>
    </x:row>
    <x:row r="12" ht="23" customHeight="1">
      <x:c r="A12" s="7" t="str">
        <x:v>CRM import</x:v>
      </x:c>
      <x:c r="B12" s="7" t="str">
        <x:v>Only unique researched accounts enter a draft CSV</x:v>
      </x:c>
      <x:c r="C12" s="7" t="str">
        <x:v>Buyer and need still require confirmation</x:v>
      </x:c>
    </x:row>
    <x:row r="13" ht="23" customHeight="1">
      <x:c r="A13" s="7" t="str">
        <x:v>Marketing</x:v>
      </x:c>
      <x:c r="B13" s="7" t="str">
        <x:v>Segment, message, channel and success metric</x:v>
      </x:c>
      <x:c r="C13" s="7" t="str">
        <x:v>No campaign execution or fabricated conversion</x:v>
      </x:c>
    </x:row>
    <x:row r="16" ht="28" customHeight="1">
      <x:c r="A16" s="6" t="str">
        <x:v>Source organization</x:v>
      </x:c>
      <x:c r="B16" s="6" t="str">
        <x:v>Official evidence URL</x:v>
      </x:c>
    </x:row>
    <x:row r="17" ht="23" customHeight="1">
      <x:c r="A17" s="7" t="str">
        <x:v>Barber Club</x:v>
      </x:c>
      <x:c r="B17" s="7" t="str">
        <x:v>https://www.barberclub.co.za/branches</x:v>
      </x:c>
    </x:row>
    <x:row r="18" ht="23" customHeight="1">
      <x:c r="A18" s="7" t="str">
        <x:v>being</x:v>
      </x:c>
      <x:c r="B18" s="7" t="str">
        <x:v>https://www.being.co.za/</x:v>
      </x:c>
    </x:row>
    <x:row r="19" ht="23" customHeight="1">
      <x:c r="A19" s="7" t="str">
        <x:v>Sorbet</x:v>
      </x:c>
      <x:c r="B19" s="7" t="str">
        <x:v>https://www.sorbet.co.za/salon</x:v>
      </x:c>
    </x:row>
    <x:row r="20" ht="23" customHeight="1">
      <x:c r="A20" s="7" t="str">
        <x:v>Perfect 10</x:v>
      </x:c>
      <x:c r="B20" s="7" t="str">
        <x:v>https://www.perfect10.co.za/</x:v>
      </x:c>
    </x:row>
    <x:row r="21" ht="23" customHeight="1">
      <x:c r="A21" s="7" t="str">
        <x:v>Camelot Spa Group</x:v>
      </x:c>
      <x:c r="B21" s="7" t="str">
        <x:v>https://www.camelotspa.co.za/</x:v>
      </x:c>
    </x:row>
    <x:row r="22" ht="23" customHeight="1">
      <x:c r="A22" s="7" t="str">
        <x:v>Life Day Spa Group</x:v>
      </x:c>
      <x:c r="B22" s="7" t="str">
        <x:v>https://lifedayspa.co.za/book-a-treatment/</x:v>
      </x:c>
    </x:row>
    <x:row r="23" ht="23" customHeight="1">
      <x:c r="A23" s="7" t="str">
        <x:v>Legends Barber</x:v>
      </x:c>
      <x:c r="B23" s="7" t="str">
        <x:v>https://www.legends-barber.com/</x:v>
      </x:c>
    </x:row>
    <x:row r="24" ht="23" customHeight="1">
      <x:c r="A24" s="7" t="str">
        <x:v>Sirina Thai Spa</x:v>
      </x:c>
      <x:c r="B24" s="7" t="str">
        <x:v>https://sirinathaispa.co.za/</x:v>
      </x:c>
    </x:row>
    <x:row r="25" ht="23" customHeight="1">
      <x:c r="A25" s="7" t="str">
        <x:v>Hair City</x:v>
      </x:c>
      <x:c r="B25" s="7" t="str">
        <x:v>https://www.haircity.co.za/pages/faq</x:v>
      </x:c>
    </x:row>
    <x:row r="26" ht="23" customHeight="1">
      <x:c r="A26" s="7" t="str">
        <x:v>Hermanos Barbershop</x:v>
      </x:c>
      <x:c r="B26" s="7" t="str">
        <x:v>https://hermanos.co.za/</x:v>
      </x:c>
    </x:row>
  </x:sheetData>
  <x:pageMargins left="0.7" right="0.7" top="0.75" bottom="0.75" header="0.3" footer="0.3"/>
</x:worksheet>
</file>